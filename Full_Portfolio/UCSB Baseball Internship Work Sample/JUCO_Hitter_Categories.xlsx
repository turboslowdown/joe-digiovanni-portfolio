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<sst xmlns="http://schemas.openxmlformats.org/spreadsheetml/2006/main" count="434" uniqueCount="115">
  <si>
    <t>Best Overall</t>
  </si>
  <si>
    <t>Name</t>
  </si>
  <si>
    <t>School</t>
  </si>
  <si>
    <t>OPS</t>
  </si>
  <si>
    <t>wOBA</t>
  </si>
  <si>
    <t>ISO</t>
  </si>
  <si>
    <t>K%</t>
  </si>
  <si>
    <t>BB%</t>
  </si>
  <si>
    <t>BB/K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</si>
  <si>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</si>
  <si>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</si>
  <si>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</si>
  <si>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</si>
  <si>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</si>
  <si>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</si>
  <si>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</si>
  <si>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</si>
  <si>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</si>
  <si>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</si>
  <si>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SB</t>
  </si>
  <si>
    <t>CS</t>
  </si>
  <si>
    <t>AVG</t>
  </si>
  <si>
    <t>OBP</t>
  </si>
  <si>
    <t>SLG</t>
  </si>
  <si>
    <t>TB</t>
  </si>
  <si>
    <t>BABIP</t>
  </si>
  <si>
    <t>BABIP - AVG</t>
  </si>
  <si>
    <t>1B</t>
  </si>
  <si>
    <t>PA</t>
  </si>
  <si>
    <t>SB%</t>
  </si>
  <si>
    <t>D/C?</t>
  </si>
  <si>
    <t>HBP</t>
  </si>
  <si>
    <t>GDP</t>
  </si>
  <si>
    <t>SF</t>
  </si>
  <si>
    <t>SH</t>
  </si>
  <si>
    <t>PO</t>
  </si>
  <si>
    <t>A</t>
  </si>
  <si>
    <t>E</t>
  </si>
  <si>
    <t>FLD%</t>
  </si>
  <si>
    <t>Sydney Ward</t>
  </si>
  <si>
    <t>Amarillo College</t>
  </si>
  <si>
    <t>~</t>
  </si>
  <si>
    <t>Tomas Ricny</t>
  </si>
  <si>
    <t>Northeastern</t>
  </si>
  <si>
    <t>Kelvin Agosto</t>
  </si>
  <si>
    <t>Trinidad State</t>
  </si>
  <si>
    <t>Deniel Ortiz</t>
  </si>
  <si>
    <t>Walters State</t>
  </si>
  <si>
    <t>Jaret Nelson</t>
  </si>
  <si>
    <t>Fort Scott</t>
  </si>
  <si>
    <t>Josh Cote</t>
  </si>
  <si>
    <t>Wilmer Henriquez</t>
  </si>
  <si>
    <t>Luna</t>
  </si>
  <si>
    <t>Andrey Martinez</t>
  </si>
  <si>
    <t>St. Petersburg</t>
  </si>
  <si>
    <t>Jake Kutella</t>
  </si>
  <si>
    <t>Triton</t>
  </si>
  <si>
    <t>Oliver Mabee</t>
  </si>
  <si>
    <t>Jase Woita</t>
  </si>
  <si>
    <t>Kansas City Kansas</t>
  </si>
  <si>
    <t>Jose Villalobos</t>
  </si>
  <si>
    <t>n/a</t>
  </si>
  <si>
    <t>Xavier Melendez</t>
  </si>
  <si>
    <t>Midland</t>
  </si>
  <si>
    <t>Kurtis Reid</t>
  </si>
  <si>
    <t>Daniel Stewart</t>
  </si>
  <si>
    <t>Wallace State</t>
  </si>
  <si>
    <t>Cameron Cartwright</t>
  </si>
  <si>
    <t>Seward County</t>
  </si>
  <si>
    <t>Kai Gray</t>
  </si>
  <si>
    <t>* Ward is the top Overall</t>
  </si>
  <si>
    <t>- Ward has a good eye, gets on base a lot, more walks than strikeouts, hits the ball hard as hell</t>
  </si>
  <si>
    <t>* Ricny is a pure hitter (Ranked #9 in OBP for all of JUCO)</t>
  </si>
  <si>
    <t>- Doubles machine, gets on base, good eye, can hit for power</t>
  </si>
  <si>
    <t>* Mabee has large issues with strikeouts but is also a pitcher</t>
  </si>
  <si>
    <t>Everyone here is a good option and I doublt you can go wrong with anybody on the list above</t>
  </si>
  <si>
    <t>NOTE: You probably would not see this level of production from any of these guys you get, as JUCO is an easier run environment.</t>
  </si>
  <si>
    <t>Pitchers tend to top out in JUCO at around 92ish mph.</t>
  </si>
  <si>
    <t>Best Raw Power</t>
  </si>
  <si>
    <t>Kaden Jeffries</t>
  </si>
  <si>
    <t>Metropolitan</t>
  </si>
  <si>
    <t>Joey Morton</t>
  </si>
  <si>
    <t>Crowder</t>
  </si>
  <si>
    <t>Best Plate Discipline</t>
  </si>
  <si>
    <t>Jadyn McNealy</t>
  </si>
  <si>
    <t>Cowley</t>
  </si>
  <si>
    <t>Kaiden Ashton</t>
  </si>
  <si>
    <t>Northeastern Oklahoma A&amp;M</t>
  </si>
  <si>
    <t>Blake Venneman</t>
  </si>
  <si>
    <t>Allen County</t>
  </si>
  <si>
    <t>Ian Farrell</t>
  </si>
  <si>
    <t>Lake Land</t>
  </si>
  <si>
    <t>Alex Balisteri</t>
  </si>
  <si>
    <t>Calhoun</t>
  </si>
  <si>
    <t>Dominic Decker</t>
  </si>
  <si>
    <t>Cooper Schneider</t>
  </si>
  <si>
    <t>Dodge City</t>
  </si>
  <si>
    <t>Warrick Wilmot</t>
  </si>
  <si>
    <t>Wallace Dothan</t>
  </si>
  <si>
    <t>Andrew Muraco</t>
  </si>
  <si>
    <t>Gaston College</t>
  </si>
  <si>
    <t>Diego Urreta</t>
  </si>
  <si>
    <t>Monroe College</t>
  </si>
  <si>
    <t>Blake Simpson</t>
  </si>
  <si>
    <t>Connors State</t>
  </si>
  <si>
    <t>Edian Espinal</t>
  </si>
  <si>
    <t>Chipola</t>
  </si>
  <si>
    <t>Pure Contact</t>
  </si>
  <si>
    <t>TJ Grines</t>
  </si>
  <si>
    <t>Lurleen B. Wallace</t>
  </si>
  <si>
    <t>* Ricny would be my first choice, but Ashton hit .452 walking more than twice as much as</t>
  </si>
  <si>
    <t>he struck out. Great option, just needs to hit the weight room</t>
  </si>
  <si>
    <t>He Gets on Base</t>
  </si>
  <si>
    <t>Wilser Then</t>
  </si>
  <si>
    <t>Southwestern Illinois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</si>
</sst>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FFFFFF"/>
      <name val="Arial"/>
    </font>
    <font>
      <b/>
      <sz val="14.0"/>
      <color rgb="FFFFFFFF"/>
      <name val="Monospace"/>
    </font>
    <font>
      <sz val="14.0"/>
      <color rgb="FFFFFFFF"/>
      <name val="Arial"/>
    </font>
    <font>
      <b/>
      <sz val="14.0"/>
      <color rgb="FFFFFF00"/>
      <name val="Arial"/>
    </font>
    <font>
      <sz val="14.0"/>
      <color rgb="FFFFFFFF"/>
      <name val="Monospace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</font>
  </fonts>
  <fills count="15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34A853"/>
        <bgColor rgb="FF34A853"/>
      </patternFill>
    </fill>
    <fill>
      <patternFill patternType="solid">
        <fgColor rgb="FF181A1B"/>
        <bgColor rgb="FF181A1B"/>
      </patternFill>
    </fill>
    <fill>
      <patternFill patternType="solid">
        <fgColor rgb="FFC63434"/>
        <bgColor rgb="FFC63434"/>
      </patternFill>
    </fill>
    <fill>
      <patternFill patternType="solid">
        <fgColor rgb="FFC53636"/>
        <bgColor rgb="FFC53636"/>
      </patternFill>
    </fill>
    <fill>
      <patternFill patternType="solid">
        <fgColor rgb="FFCC0000"/>
        <bgColor rgb="FFCC0000"/>
      </patternFill>
    </fill>
    <fill>
      <patternFill patternType="solid">
        <fgColor rgb="FF859AAD"/>
        <bgColor rgb="FF859AAD"/>
      </patternFill>
    </fill>
    <fill>
      <patternFill patternType="solid">
        <fgColor rgb="FFBD8181"/>
        <bgColor rgb="FFBD8181"/>
      </patternFill>
    </fill>
    <fill>
      <patternFill patternType="solid">
        <fgColor rgb="FFB7B5B5"/>
        <bgColor rgb="FFB7B5B5"/>
      </patternFill>
    </fill>
    <fill>
      <patternFill patternType="solid">
        <fgColor rgb="FFFF6D01"/>
        <bgColor rgb="FFFF6D01"/>
      </patternFill>
    </fill>
    <fill>
      <patternFill patternType="solid">
        <fgColor rgb="FFC34E4E"/>
        <bgColor rgb="FFC34E4E"/>
      </patternFill>
    </fill>
    <fill>
      <patternFill patternType="solid">
        <fgColor rgb="FFC53A3A"/>
        <bgColor rgb="FFC53A3A"/>
      </patternFill>
    </fill>
    <fill>
      <patternFill patternType="solid">
        <fgColor rgb="FFBB9292"/>
        <bgColor rgb="FFBB9292"/>
      </patternFill>
    </fill>
    <fill>
      <patternFill patternType="solid">
        <fgColor rgb="FF8FA0AF"/>
        <bgColor rgb="FF8FA0AF"/>
      </patternFill>
    </fill>
    <fill>
      <patternFill patternType="solid">
        <fgColor rgb="FFB9A5A5"/>
        <bgColor rgb="FFB9A5A5"/>
      </patternFill>
    </fill>
    <fill>
      <patternFill patternType="solid">
        <fgColor rgb="FFA7AEB3"/>
        <bgColor rgb="FFA7AEB3"/>
      </patternFill>
    </fill>
    <fill>
      <patternFill patternType="solid">
        <fgColor rgb="FF741B47"/>
        <bgColor rgb="FF741B47"/>
      </patternFill>
    </fill>
    <fill>
      <patternFill patternType="solid">
        <fgColor rgb="FFC25858"/>
        <bgColor rgb="FFC25858"/>
      </patternFill>
    </fill>
    <fill>
      <patternFill patternType="solid">
        <fgColor rgb="FFC25252"/>
        <bgColor rgb="FFC25252"/>
      </patternFill>
    </fill>
    <fill>
      <patternFill patternType="solid">
        <fgColor rgb="FFC25757"/>
        <bgColor rgb="FFC25757"/>
      </patternFill>
    </fill>
    <fill>
      <patternFill patternType="solid">
        <fgColor rgb="FFC25B5B"/>
        <bgColor rgb="FFC25B5B"/>
      </patternFill>
    </fill>
    <fill>
      <patternFill patternType="solid">
        <fgColor rgb="FF3E719E"/>
        <bgColor rgb="FF3E719E"/>
      </patternFill>
    </fill>
    <fill>
      <patternFill patternType="solid">
        <fgColor rgb="FFB4B1B3"/>
        <bgColor rgb="FFB4B1B3"/>
      </patternFill>
    </fill>
    <fill>
      <patternFill patternType="solid">
        <fgColor rgb="FFC15E5E"/>
        <bgColor rgb="FFC15E5E"/>
      </patternFill>
    </fill>
    <fill>
      <patternFill patternType="solid">
        <fgColor rgb="FFC06565"/>
        <bgColor rgb="FFC06565"/>
      </patternFill>
    </fill>
    <fill>
      <patternFill patternType="solid">
        <fgColor rgb="FF6788A7"/>
        <bgColor rgb="FF6788A7"/>
      </patternFill>
    </fill>
    <fill>
      <patternFill patternType="solid">
        <fgColor rgb="FFC15C5C"/>
        <bgColor rgb="FFC15C5C"/>
      </patternFill>
    </fill>
    <fill>
      <patternFill patternType="solid">
        <fgColor rgb="FFAAAFB4"/>
        <bgColor rgb="FFAAAFB4"/>
      </patternFill>
    </fill>
    <fill>
      <patternFill patternType="solid">
        <fgColor rgb="FFAA99A2"/>
        <bgColor rgb="FFAA99A2"/>
      </patternFill>
    </fill>
    <fill>
      <patternFill patternType="solid">
        <fgColor rgb="FFC06161"/>
        <bgColor rgb="FFC06161"/>
      </patternFill>
    </fill>
    <fill>
      <patternFill patternType="solid">
        <fgColor rgb="FFC15B5B"/>
        <bgColor rgb="FFC15B5B"/>
      </patternFill>
    </fill>
    <fill>
      <patternFill patternType="solid">
        <fgColor rgb="FFC53D3D"/>
        <bgColor rgb="FFC53D3D"/>
      </patternFill>
    </fill>
    <fill>
      <patternFill patternType="solid">
        <fgColor rgb="FF718EA9"/>
        <bgColor rgb="FF718EA9"/>
      </patternFill>
    </fill>
    <fill>
      <patternFill patternType="solid">
        <fgColor rgb="FF8399AC"/>
        <bgColor rgb="FF8399AC"/>
      </patternFill>
    </fill>
    <fill>
      <patternFill patternType="solid">
        <fgColor rgb="FF4D79A1"/>
        <bgColor rgb="FF4D79A1"/>
      </patternFill>
    </fill>
    <fill>
      <patternFill patternType="solid">
        <fgColor rgb="FFBE7373"/>
        <bgColor rgb="FFBE7373"/>
      </patternFill>
    </fill>
    <fill>
      <patternFill patternType="solid">
        <fgColor rgb="FFBD8282"/>
        <bgColor rgb="FFBD8282"/>
      </patternFill>
    </fill>
    <fill>
      <patternFill patternType="solid">
        <fgColor rgb="FFC72929"/>
        <bgColor rgb="FFC72929"/>
      </patternFill>
    </fill>
    <fill>
      <patternFill patternType="solid">
        <fgColor rgb="FFBAA0A0"/>
        <bgColor rgb="FFBAA0A0"/>
      </patternFill>
    </fill>
    <fill>
      <patternFill patternType="solid">
        <fgColor rgb="FF94A3B0"/>
        <bgColor rgb="FF94A3B0"/>
      </patternFill>
    </fill>
    <fill>
      <patternFill patternType="solid">
        <fgColor rgb="FFB7B6B6"/>
        <bgColor rgb="FFB7B6B6"/>
      </patternFill>
    </fill>
    <fill>
      <patternFill patternType="solid">
        <fgColor rgb="FFA28795"/>
        <bgColor rgb="FFA28795"/>
      </patternFill>
    </fill>
    <fill>
      <patternFill patternType="solid">
        <fgColor rgb="FFBF6969"/>
        <bgColor rgb="FFBF6969"/>
      </patternFill>
    </fill>
    <fill>
      <patternFill patternType="solid">
        <fgColor rgb="FFC15959"/>
        <bgColor rgb="FFC15959"/>
      </patternFill>
    </fill>
    <fill>
      <patternFill patternType="solid">
        <fgColor rgb="FFADB2B5"/>
        <bgColor rgb="FFADB2B5"/>
      </patternFill>
    </fill>
    <fill>
      <patternFill patternType="solid">
        <fgColor rgb="FF1C5D97"/>
        <bgColor rgb="FF1C5D97"/>
      </patternFill>
    </fill>
    <fill>
      <patternFill patternType="solid">
        <fgColor rgb="FF205F98"/>
        <bgColor rgb="FF205F98"/>
      </patternFill>
    </fill>
    <fill>
      <patternFill patternType="solid">
        <fgColor rgb="FFBE7A7A"/>
        <bgColor rgb="FFBE7A7A"/>
      </patternFill>
    </fill>
    <fill>
      <patternFill patternType="solid">
        <fgColor rgb="FFBF7171"/>
        <bgColor rgb="FFBF7171"/>
      </patternFill>
    </fill>
    <fill>
      <patternFill patternType="solid">
        <fgColor rgb="FFBE7676"/>
        <bgColor rgb="FFBE7676"/>
      </patternFill>
    </fill>
    <fill>
      <patternFill patternType="solid">
        <fgColor rgb="FFBF7272"/>
        <bgColor rgb="FFBF7272"/>
      </patternFill>
    </fill>
    <fill>
      <patternFill patternType="solid">
        <fgColor rgb="FF4F7BA2"/>
        <bgColor rgb="FF4F7BA2"/>
      </patternFill>
    </fill>
    <fill>
      <patternFill patternType="solid">
        <fgColor rgb="FF9BA7B1"/>
        <bgColor rgb="FF9BA7B1"/>
      </patternFill>
    </fill>
    <fill>
      <patternFill patternType="solid">
        <fgColor rgb="FFDB925C"/>
        <bgColor rgb="FFDB925C"/>
      </patternFill>
    </fill>
    <fill>
      <patternFill patternType="solid">
        <fgColor rgb="FFBD7D7D"/>
        <bgColor rgb="FFBD7D7D"/>
      </patternFill>
    </fill>
    <fill>
      <patternFill patternType="solid">
        <fgColor rgb="FFBB8E8E"/>
        <bgColor rgb="FFBB8E8E"/>
      </patternFill>
    </fill>
    <fill>
      <patternFill patternType="solid">
        <fgColor rgb="FFBD8989"/>
        <bgColor rgb="FFBD8989"/>
      </patternFill>
    </fill>
    <fill>
      <patternFill patternType="solid">
        <fgColor rgb="FF6185A5"/>
        <bgColor rgb="FF6185A5"/>
      </patternFill>
    </fill>
    <fill>
      <patternFill patternType="solid">
        <fgColor rgb="FFA1AAB2"/>
        <bgColor rgb="FFA1AAB2"/>
      </patternFill>
    </fill>
    <fill>
      <patternFill patternType="solid">
        <fgColor rgb="FFAFA4A9"/>
        <bgColor rgb="FFAFA4A9"/>
      </patternFill>
    </fill>
    <fill>
      <patternFill patternType="solid">
        <fgColor rgb="FFBC8A8A"/>
        <bgColor rgb="FFBC8A8A"/>
      </patternFill>
    </fill>
    <fill>
      <patternFill patternType="solid">
        <fgColor rgb="FFBC8484"/>
        <bgColor rgb="FFBC8484"/>
      </patternFill>
    </fill>
    <fill>
      <patternFill patternType="solid">
        <fgColor rgb="FF205F99"/>
        <bgColor rgb="FF205F99"/>
      </patternFill>
    </fill>
    <fill>
      <patternFill patternType="solid">
        <fgColor rgb="FF1D5D97"/>
        <bgColor rgb="FF1D5D97"/>
      </patternFill>
    </fill>
    <fill>
      <patternFill patternType="solid">
        <fgColor rgb="FFBA9898"/>
        <bgColor rgb="FFBA9898"/>
      </patternFill>
    </fill>
    <fill>
      <patternFill patternType="solid">
        <fgColor rgb="FFBB8F8F"/>
        <bgColor rgb="FFBB8F8F"/>
      </patternFill>
    </fill>
    <fill>
      <patternFill patternType="solid">
        <fgColor rgb="FFB8AAAA"/>
        <bgColor rgb="FFB8AAAA"/>
      </patternFill>
    </fill>
    <fill>
      <patternFill patternType="solid">
        <fgColor rgb="FF728FA9"/>
        <bgColor rgb="FF728FA9"/>
      </patternFill>
    </fill>
    <fill>
      <patternFill patternType="solid">
        <fgColor rgb="FFB3B5B6"/>
        <bgColor rgb="FFB3B5B6"/>
      </patternFill>
    </fill>
    <fill>
      <patternFill patternType="solid">
        <fgColor rgb="FFBB8C8C"/>
        <bgColor rgb="FFBB8C8C"/>
      </patternFill>
    </fill>
    <fill>
      <patternFill patternType="solid">
        <fgColor rgb="FFBC8B8B"/>
        <bgColor rgb="FFBC8B8B"/>
      </patternFill>
    </fill>
    <fill>
      <patternFill patternType="solid">
        <fgColor rgb="FF527DA3"/>
        <bgColor rgb="FF527DA3"/>
      </patternFill>
    </fill>
    <fill>
      <patternFill patternType="solid">
        <fgColor rgb="FF0B5394"/>
        <bgColor rgb="FF0B5394"/>
      </patternFill>
    </fill>
    <fill>
      <patternFill patternType="solid">
        <fgColor rgb="FFBA9C9C"/>
        <bgColor rgb="FFBA9C9C"/>
      </patternFill>
    </fill>
    <fill>
      <patternFill patternType="solid">
        <fgColor rgb="FFBA9595"/>
        <bgColor rgb="FFBA9595"/>
      </patternFill>
    </fill>
    <fill>
      <patternFill patternType="solid">
        <fgColor rgb="FFB5B6B6"/>
        <bgColor rgb="FFB5B6B6"/>
      </patternFill>
    </fill>
    <fill>
      <patternFill patternType="solid">
        <fgColor rgb="FFA3ACB3"/>
        <bgColor rgb="FFA3ACB3"/>
      </patternFill>
    </fill>
    <fill>
      <patternFill patternType="solid">
        <fgColor rgb="FFAEA3A8"/>
        <bgColor rgb="FFAEA3A8"/>
      </patternFill>
    </fill>
    <fill>
      <patternFill patternType="solid">
        <fgColor rgb="FFBC8989"/>
        <bgColor rgb="FFBC8989"/>
      </patternFill>
    </fill>
    <fill>
      <patternFill patternType="solid">
        <fgColor rgb="FFB99F9F"/>
        <bgColor rgb="FFB99F9F"/>
      </patternFill>
    </fill>
    <fill>
      <patternFill patternType="solid">
        <fgColor rgb="FFC16060"/>
        <bgColor rgb="FFC16060"/>
      </patternFill>
    </fill>
    <fill>
      <patternFill patternType="solid">
        <fgColor rgb="FFB7AFAF"/>
        <bgColor rgb="FFB7AFAF"/>
      </patternFill>
    </fill>
    <fill>
      <patternFill patternType="solid">
        <fgColor rgb="FFB7B7B7"/>
        <bgColor rgb="FFB7B7B7"/>
      </patternFill>
    </fill>
    <fill>
      <patternFill patternType="solid">
        <fgColor rgb="FFB9A4A4"/>
        <bgColor rgb="FFB9A4A4"/>
      </patternFill>
    </fill>
    <fill>
      <patternFill patternType="solid">
        <fgColor rgb="FFB9A3A3"/>
        <bgColor rgb="FFB9A3A3"/>
      </patternFill>
    </fill>
    <fill>
      <patternFill patternType="solid">
        <fgColor rgb="FFA5ADB3"/>
        <bgColor rgb="FFA5ADB3"/>
      </patternFill>
    </fill>
    <fill>
      <patternFill patternType="solid">
        <fgColor rgb="FFBA9696"/>
        <bgColor rgb="FFBA9696"/>
      </patternFill>
    </fill>
    <fill>
      <patternFill patternType="solid">
        <fgColor rgb="FFC06464"/>
        <bgColor rgb="FFC06464"/>
      </patternFill>
    </fill>
    <fill>
      <patternFill patternType="solid">
        <fgColor rgb="FF2D679B"/>
        <bgColor rgb="FF2D679B"/>
      </patternFill>
    </fill>
    <fill>
      <patternFill patternType="solid">
        <fgColor rgb="FF5C83A5"/>
        <bgColor rgb="FF5C83A5"/>
      </patternFill>
    </fill>
    <fill>
      <patternFill patternType="solid">
        <fgColor rgb="FFBB9393"/>
        <bgColor rgb="FFBB9393"/>
      </patternFill>
    </fill>
    <fill>
      <patternFill patternType="solid">
        <fgColor rgb="FF7A93AA"/>
        <bgColor rgb="FF7A93AA"/>
      </patternFill>
    </fill>
    <fill>
      <patternFill patternType="solid">
        <fgColor rgb="FFAC9DA4"/>
        <bgColor rgb="FFAC9DA4"/>
      </patternFill>
    </fill>
    <fill>
      <patternFill patternType="solid">
        <fgColor rgb="FFB7B0B0"/>
        <bgColor rgb="FFB7B0B0"/>
      </patternFill>
    </fill>
    <fill>
      <patternFill patternType="solid">
        <fgColor rgb="FFB7B1B1"/>
        <bgColor rgb="FFB7B1B1"/>
      </patternFill>
    </fill>
    <fill>
      <patternFill patternType="solid">
        <fgColor rgb="FF44749F"/>
        <bgColor rgb="FF44749F"/>
      </patternFill>
    </fill>
    <fill>
      <patternFill patternType="solid">
        <fgColor rgb="FF869AAD"/>
        <bgColor rgb="FF869AAD"/>
      </patternFill>
    </fill>
    <fill>
      <patternFill patternType="solid">
        <fgColor rgb="FF396D9D"/>
        <bgColor rgb="FF396D9D"/>
      </patternFill>
    </fill>
    <fill>
      <patternFill patternType="solid">
        <fgColor rgb="FFC72D2D"/>
        <bgColor rgb="FFC72D2D"/>
      </patternFill>
    </fill>
    <fill>
      <patternFill patternType="solid">
        <fgColor rgb="FFC53737"/>
        <bgColor rgb="FFC53737"/>
      </patternFill>
    </fill>
    <fill>
      <patternFill patternType="solid">
        <fgColor rgb="FFC91717"/>
        <bgColor rgb="FFC91717"/>
      </patternFill>
    </fill>
    <fill>
      <patternFill patternType="solid">
        <fgColor rgb="FFB5B3B4"/>
        <bgColor rgb="FFB5B3B4"/>
      </patternFill>
    </fill>
    <fill>
      <patternFill patternType="solid">
        <fgColor rgb="FFB8A7A7"/>
        <bgColor rgb="FFB8A7A7"/>
      </patternFill>
    </fill>
    <fill>
      <patternFill patternType="solid">
        <fgColor rgb="FF366C9C"/>
        <bgColor rgb="FF366C9C"/>
      </patternFill>
    </fill>
    <fill>
      <patternFill patternType="solid">
        <fgColor rgb="FFC72525"/>
        <bgColor rgb="FFC72525"/>
      </patternFill>
    </fill>
    <fill>
      <patternFill patternType="solid">
        <fgColor rgb="FFC1AD9D"/>
        <bgColor rgb="FFC1AD9D"/>
      </patternFill>
    </fill>
    <fill>
      <patternFill patternType="solid">
        <fgColor rgb="FF135895"/>
        <bgColor rgb="FF135895"/>
      </patternFill>
    </fill>
    <fill>
      <patternFill patternType="solid">
        <fgColor rgb="FF4776A0"/>
        <bgColor rgb="FF4776A0"/>
      </patternFill>
    </fill>
    <fill>
      <patternFill patternType="solid">
        <fgColor rgb="FF557EA3"/>
        <bgColor rgb="FF557EA3"/>
      </patternFill>
    </fill>
    <fill>
      <patternFill patternType="solid">
        <fgColor rgb="FF4675A0"/>
        <bgColor rgb="FF4675A0"/>
      </patternFill>
    </fill>
    <fill>
      <patternFill patternType="solid">
        <fgColor rgb="FFCA1616"/>
        <bgColor rgb="FFCA1616"/>
      </patternFill>
    </fill>
    <fill>
      <patternFill patternType="solid">
        <fgColor rgb="FFC53B3B"/>
        <bgColor rgb="FFC53B3B"/>
      </patternFill>
    </fill>
    <fill>
      <patternFill patternType="solid">
        <fgColor rgb="FFA58D99"/>
        <bgColor rgb="FFA58D99"/>
      </patternFill>
    </fill>
    <fill>
      <patternFill patternType="solid">
        <fgColor rgb="FFB6B6B6"/>
        <bgColor rgb="FFB6B6B6"/>
      </patternFill>
    </fill>
    <fill>
      <patternFill patternType="solid">
        <fgColor rgb="FFB7B3B3"/>
        <bgColor rgb="FFB7B3B3"/>
      </patternFill>
    </fill>
    <fill>
      <patternFill patternType="solid">
        <fgColor rgb="FFB9A2A2"/>
        <bgColor rgb="FFB9A2A2"/>
      </patternFill>
    </fill>
    <fill>
      <patternFill patternType="solid">
        <fgColor rgb="FFBF6B6B"/>
        <bgColor rgb="FFBF6B6B"/>
      </patternFill>
    </fill>
    <fill>
      <patternFill patternType="solid">
        <fgColor rgb="FF6A8AA7"/>
        <bgColor rgb="FF6A8AA7"/>
      </patternFill>
    </fill>
    <fill>
      <patternFill patternType="solid">
        <fgColor rgb="FF2E679B"/>
        <bgColor rgb="FF2E679B"/>
      </patternFill>
    </fill>
    <fill>
      <patternFill patternType="solid">
        <fgColor rgb="FFC34D4D"/>
        <bgColor rgb="FFC34D4D"/>
      </patternFill>
    </fill>
    <fill>
      <patternFill patternType="solid">
        <fgColor rgb="FF5A81A4"/>
        <bgColor rgb="FF5A81A4"/>
      </patternFill>
    </fill>
    <fill>
      <patternFill patternType="solid">
        <fgColor rgb="FF5B81A4"/>
        <bgColor rgb="FF5B81A4"/>
      </patternFill>
    </fill>
    <fill>
      <patternFill patternType="solid">
        <fgColor rgb="FF6889A7"/>
        <bgColor rgb="FF6889A7"/>
      </patternFill>
    </fill>
    <fill>
      <patternFill patternType="solid">
        <fgColor rgb="FFC54444"/>
        <bgColor rgb="FFC54444"/>
      </patternFill>
    </fill>
    <fill>
      <patternFill patternType="solid">
        <fgColor rgb="FFCBA283"/>
        <bgColor rgb="FFCBA283"/>
      </patternFill>
    </fill>
    <fill>
      <patternFill patternType="solid">
        <fgColor rgb="FF336A9C"/>
        <bgColor rgb="FF336A9C"/>
      </patternFill>
    </fill>
    <fill>
      <patternFill patternType="solid">
        <fgColor rgb="FF29649A"/>
        <bgColor rgb="FF29649A"/>
      </patternFill>
    </fill>
    <fill>
      <patternFill patternType="solid">
        <fgColor rgb="FF567EA3"/>
        <bgColor rgb="FF567EA3"/>
      </patternFill>
    </fill>
    <fill>
      <patternFill patternType="solid">
        <fgColor rgb="FF9A7588"/>
        <bgColor rgb="FF9A7588"/>
      </patternFill>
    </fill>
    <fill>
      <patternFill patternType="solid">
        <fgColor rgb="FF899CAD"/>
        <bgColor rgb="FF899CAD"/>
      </patternFill>
    </fill>
    <fill>
      <patternFill patternType="solid">
        <fgColor rgb="FF8E9FAE"/>
        <bgColor rgb="FF8E9FAE"/>
      </patternFill>
    </fill>
    <fill>
      <patternFill patternType="solid">
        <fgColor rgb="FFB8ADAD"/>
        <bgColor rgb="FFB8ADAD"/>
      </patternFill>
    </fill>
    <fill>
      <patternFill patternType="solid">
        <fgColor rgb="FFBC8383"/>
        <bgColor rgb="FFBC8383"/>
      </patternFill>
    </fill>
    <fill>
      <patternFill patternType="solid">
        <fgColor rgb="FFAB9BA3"/>
        <bgColor rgb="FFAB9BA3"/>
      </patternFill>
    </fill>
    <fill>
      <patternFill patternType="solid">
        <fgColor rgb="FF6989A7"/>
        <bgColor rgb="FF6989A7"/>
      </patternFill>
    </fill>
    <fill>
      <patternFill patternType="solid">
        <fgColor rgb="FF7490A9"/>
        <bgColor rgb="FF7490A9"/>
      </patternFill>
    </fill>
    <fill>
      <patternFill patternType="solid">
        <fgColor rgb="FF6084A5"/>
        <bgColor rgb="FF6084A5"/>
      </patternFill>
    </fill>
    <fill>
      <patternFill patternType="solid">
        <fgColor rgb="FFBB9494"/>
        <bgColor rgb="FFBB9494"/>
      </patternFill>
    </fill>
    <fill>
      <patternFill patternType="solid">
        <fgColor rgb="FF9BA6B1"/>
        <bgColor rgb="FF9BA6B1"/>
      </patternFill>
    </fill>
    <fill>
      <patternFill patternType="solid">
        <fgColor rgb="FF94A2AF"/>
        <bgColor rgb="FF94A2AF"/>
      </patternFill>
    </fill>
    <fill>
      <patternFill patternType="solid">
        <fgColor rgb="FFB99E9E"/>
        <bgColor rgb="FFB99E9E"/>
      </patternFill>
    </fill>
    <fill>
      <patternFill patternType="solid">
        <fgColor rgb="FF3A6E9D"/>
        <bgColor rgb="FF3A6E9D"/>
      </patternFill>
    </fill>
    <fill>
      <patternFill patternType="solid">
        <fgColor rgb="FF40729E"/>
        <bgColor rgb="FF40729E"/>
      </patternFill>
    </fill>
    <fill>
      <patternFill patternType="solid">
        <fgColor rgb="FFB2ACAF"/>
        <bgColor rgb="FFB2ACAF"/>
      </patternFill>
    </fill>
    <fill>
      <patternFill patternType="solid">
        <fgColor rgb="FF8197AC"/>
        <bgColor rgb="FF8197AC"/>
      </patternFill>
    </fill>
    <fill>
      <patternFill patternType="solid">
        <fgColor rgb="FFB8ACAC"/>
        <bgColor rgb="FFB8ACAC"/>
      </patternFill>
    </fill>
    <fill>
      <patternFill patternType="solid">
        <fgColor rgb="FFFFFFFF"/>
        <bgColor rgb="FFFFFFFF"/>
      </patternFill>
    </fill>
    <fill>
      <patternFill patternType="solid">
        <fgColor rgb="FFBA9D9D"/>
        <bgColor rgb="FFBA9D9D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ck">
        <color rgb="FF00FF00"/>
      </left>
      <right style="thin">
        <color rgb="FFFFFFFF"/>
      </right>
      <top style="thick">
        <color rgb="FF00FF00"/>
      </top>
      <bottom style="thick">
        <color rgb="FF00FF00"/>
      </bottom>
    </border>
    <border>
      <right style="thin">
        <color rgb="FFFFFFFF"/>
      </right>
      <top style="thick">
        <color rgb="FF00FF00"/>
      </top>
      <bottom style="thick">
        <color rgb="FF00FF00"/>
      </bottom>
    </border>
    <border>
      <right style="thick">
        <color rgb="FF00FF00"/>
      </right>
      <top style="thick">
        <color rgb="FF00FF00"/>
      </top>
      <bottom style="thick">
        <color rgb="FF00FF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4" fontId="5" numFmtId="49" xfId="0" applyAlignment="1" applyBorder="1" applyFill="1" applyFont="1" applyNumberFormat="1">
      <alignment horizontal="center" vertical="bottom"/>
    </xf>
    <xf borderId="2" fillId="2" fontId="6" numFmtId="49" xfId="0" applyAlignment="1" applyBorder="1" applyFont="1" applyNumberFormat="1">
      <alignment horizontal="center" readingOrder="0" vertical="bottom"/>
    </xf>
    <xf borderId="2" fillId="5" fontId="3" numFmtId="49" xfId="0" applyAlignment="1" applyBorder="1" applyFill="1" applyFont="1" applyNumberFormat="1">
      <alignment horizontal="center" vertical="bottom"/>
    </xf>
    <xf borderId="2" fillId="6" fontId="5" numFmtId="49" xfId="0" applyAlignment="1" applyBorder="1" applyFill="1" applyFont="1" applyNumberFormat="1">
      <alignment horizontal="center" vertical="top"/>
    </xf>
    <xf borderId="2" fillId="7" fontId="7" numFmtId="0" xfId="0" applyAlignment="1" applyBorder="1" applyFill="1" applyFont="1">
      <alignment horizontal="center" vertical="top"/>
    </xf>
    <xf borderId="2" fillId="8" fontId="5" numFmtId="49" xfId="0" applyAlignment="1" applyBorder="1" applyFill="1" applyFont="1" applyNumberFormat="1">
      <alignment horizontal="center" vertical="top"/>
    </xf>
    <xf borderId="2" fillId="9" fontId="5" numFmtId="0" xfId="0" applyAlignment="1" applyBorder="1" applyFill="1" applyFont="1">
      <alignment horizontal="center" vertical="top"/>
    </xf>
    <xf borderId="2" fillId="10" fontId="5" numFmtId="0" xfId="0" applyAlignment="1" applyBorder="1" applyFill="1" applyFont="1">
      <alignment horizontal="center" vertical="top"/>
    </xf>
    <xf borderId="2" fillId="11" fontId="5" numFmtId="0" xfId="0" applyAlignment="1" applyBorder="1" applyFill="1" applyFont="1">
      <alignment horizontal="center" vertical="top"/>
    </xf>
    <xf borderId="2" fillId="5" fontId="5" numFmtId="49" xfId="0" applyAlignment="1" applyBorder="1" applyFont="1" applyNumberFormat="1">
      <alignment horizontal="center" vertical="bottom"/>
    </xf>
    <xf borderId="2" fillId="3" fontId="5" numFmtId="49" xfId="0" applyAlignment="1" applyBorder="1" applyFont="1" applyNumberFormat="1">
      <alignment horizontal="center" vertical="top"/>
    </xf>
    <xf borderId="2" fillId="3" fontId="7" numFmtId="0" xfId="0" applyAlignment="1" applyBorder="1" applyFont="1">
      <alignment horizontal="center" vertical="top"/>
    </xf>
    <xf borderId="2" fillId="3" fontId="7" numFmtId="49" xfId="0" applyAlignment="1" applyBorder="1" applyFont="1" applyNumberFormat="1">
      <alignment horizontal="center" vertical="top"/>
    </xf>
    <xf borderId="2" fillId="12" fontId="5" numFmtId="0" xfId="0" applyAlignment="1" applyBorder="1" applyFill="1" applyFont="1">
      <alignment horizontal="center" vertical="top"/>
    </xf>
    <xf borderId="2" fillId="5" fontId="5" numFmtId="0" xfId="0" applyAlignment="1" applyBorder="1" applyFont="1">
      <alignment horizontal="center" vertical="bottom"/>
    </xf>
    <xf borderId="2" fillId="5" fontId="8" numFmtId="0" xfId="0" applyAlignment="1" applyBorder="1" applyFont="1">
      <alignment vertical="bottom"/>
    </xf>
    <xf borderId="3" fillId="4" fontId="5" numFmtId="49" xfId="0" applyAlignment="1" applyBorder="1" applyFont="1" applyNumberFormat="1">
      <alignment horizontal="center" vertical="bottom"/>
    </xf>
    <xf borderId="4" fillId="5" fontId="6" numFmtId="49" xfId="0" applyAlignment="1" applyBorder="1" applyFont="1" applyNumberFormat="1">
      <alignment horizontal="center" readingOrder="0" vertical="bottom"/>
    </xf>
    <xf borderId="4" fillId="5" fontId="3" numFmtId="49" xfId="0" applyAlignment="1" applyBorder="1" applyFont="1" applyNumberFormat="1">
      <alignment horizontal="center" vertical="bottom"/>
    </xf>
    <xf borderId="4" fillId="13" fontId="5" numFmtId="49" xfId="0" applyAlignment="1" applyBorder="1" applyFill="1" applyFont="1" applyNumberFormat="1">
      <alignment horizontal="center" vertical="top"/>
    </xf>
    <xf borderId="4" fillId="14" fontId="7" numFmtId="0" xfId="0" applyAlignment="1" applyBorder="1" applyFill="1" applyFont="1">
      <alignment horizontal="center" vertical="top"/>
    </xf>
    <xf borderId="4" fillId="15" fontId="5" numFmtId="49" xfId="0" applyAlignment="1" applyBorder="1" applyFill="1" applyFont="1" applyNumberFormat="1">
      <alignment horizontal="center" vertical="top"/>
    </xf>
    <xf borderId="4" fillId="16" fontId="5" numFmtId="0" xfId="0" applyAlignment="1" applyBorder="1" applyFill="1" applyFont="1">
      <alignment horizontal="center" vertical="top"/>
    </xf>
    <xf borderId="4" fillId="17" fontId="5" numFmtId="0" xfId="0" applyAlignment="1" applyBorder="1" applyFill="1" applyFont="1">
      <alignment horizontal="center" vertical="top"/>
    </xf>
    <xf borderId="4" fillId="18" fontId="5" numFmtId="0" xfId="0" applyAlignment="1" applyBorder="1" applyFill="1" applyFont="1">
      <alignment horizontal="center" vertical="top"/>
    </xf>
    <xf borderId="4" fillId="5" fontId="5" numFmtId="49" xfId="0" applyAlignment="1" applyBorder="1" applyFont="1" applyNumberFormat="1">
      <alignment horizontal="center" vertical="bottom"/>
    </xf>
    <xf borderId="4" fillId="3" fontId="5" numFmtId="49" xfId="0" applyAlignment="1" applyBorder="1" applyFont="1" applyNumberFormat="1">
      <alignment horizontal="center" vertical="top"/>
    </xf>
    <xf borderId="4" fillId="3" fontId="7" numFmtId="0" xfId="0" applyAlignment="1" applyBorder="1" applyFont="1">
      <alignment horizontal="center" vertical="top"/>
    </xf>
    <xf borderId="4" fillId="3" fontId="7" numFmtId="49" xfId="0" applyAlignment="1" applyBorder="1" applyFont="1" applyNumberFormat="1">
      <alignment horizontal="center" vertical="top"/>
    </xf>
    <xf borderId="4" fillId="19" fontId="5" numFmtId="0" xfId="0" applyAlignment="1" applyBorder="1" applyFill="1" applyFont="1">
      <alignment horizontal="center" vertical="top"/>
    </xf>
    <xf borderId="4" fillId="5" fontId="5" numFmtId="0" xfId="0" applyAlignment="1" applyBorder="1" applyFont="1">
      <alignment horizontal="center" vertical="bottom"/>
    </xf>
    <xf borderId="4" fillId="5" fontId="8" numFmtId="0" xfId="0" applyAlignment="1" applyBorder="1" applyFont="1">
      <alignment vertical="top"/>
    </xf>
    <xf borderId="4" fillId="2" fontId="6" numFmtId="49" xfId="0" applyAlignment="1" applyBorder="1" applyFont="1" applyNumberFormat="1">
      <alignment horizontal="center" readingOrder="0" vertical="bottom"/>
    </xf>
    <xf borderId="4" fillId="5" fontId="3" numFmtId="49" xfId="0" applyAlignment="1" applyBorder="1" applyFont="1" applyNumberFormat="1">
      <alignment horizontal="center" readingOrder="0" vertical="bottom"/>
    </xf>
    <xf borderId="4" fillId="20" fontId="5" numFmtId="49" xfId="0" applyAlignment="1" applyBorder="1" applyFill="1" applyFont="1" applyNumberFormat="1">
      <alignment horizontal="center" vertical="top"/>
    </xf>
    <xf borderId="4" fillId="21" fontId="7" numFmtId="0" xfId="0" applyAlignment="1" applyBorder="1" applyFill="1" applyFont="1">
      <alignment horizontal="center" vertical="top"/>
    </xf>
    <xf borderId="4" fillId="22" fontId="5" numFmtId="49" xfId="0" applyAlignment="1" applyBorder="1" applyFill="1" applyFont="1" applyNumberFormat="1">
      <alignment horizontal="center" vertical="top"/>
    </xf>
    <xf borderId="4" fillId="23" fontId="5" numFmtId="0" xfId="0" applyAlignment="1" applyBorder="1" applyFill="1" applyFont="1">
      <alignment horizontal="center" vertical="top"/>
    </xf>
    <xf borderId="4" fillId="24" fontId="5" numFmtId="0" xfId="0" applyAlignment="1" applyBorder="1" applyFill="1" applyFont="1">
      <alignment horizontal="center" vertical="top"/>
    </xf>
    <xf borderId="4" fillId="25" fontId="5" numFmtId="0" xfId="0" applyAlignment="1" applyBorder="1" applyFill="1" applyFont="1">
      <alignment horizontal="center" vertical="top"/>
    </xf>
    <xf borderId="4" fillId="5" fontId="8" numFmtId="0" xfId="0" applyAlignment="1" applyBorder="1" applyFont="1">
      <alignment vertical="bottom"/>
    </xf>
    <xf borderId="4" fillId="26" fontId="5" numFmtId="49" xfId="0" applyAlignment="1" applyBorder="1" applyFill="1" applyFont="1" applyNumberFormat="1">
      <alignment horizontal="center" vertical="top"/>
    </xf>
    <xf borderId="4" fillId="27" fontId="7" numFmtId="0" xfId="0" applyAlignment="1" applyBorder="1" applyFill="1" applyFont="1">
      <alignment horizontal="center" vertical="top"/>
    </xf>
    <xf borderId="4" fillId="28" fontId="5" numFmtId="0" xfId="0" applyAlignment="1" applyBorder="1" applyFill="1" applyFont="1">
      <alignment horizontal="center" vertical="top"/>
    </xf>
    <xf borderId="4" fillId="29" fontId="5" numFmtId="0" xfId="0" applyAlignment="1" applyBorder="1" applyFill="1" applyFont="1">
      <alignment horizontal="center" vertical="top"/>
    </xf>
    <xf borderId="4" fillId="30" fontId="5" numFmtId="0" xfId="0" applyAlignment="1" applyBorder="1" applyFill="1" applyFont="1">
      <alignment horizontal="center" vertical="top"/>
    </xf>
    <xf borderId="4" fillId="31" fontId="5" numFmtId="0" xfId="0" applyAlignment="1" applyBorder="1" applyFill="1" applyFont="1">
      <alignment horizontal="center" vertical="top"/>
    </xf>
    <xf borderId="4" fillId="32" fontId="5" numFmtId="49" xfId="0" applyAlignment="1" applyBorder="1" applyFill="1" applyFont="1" applyNumberFormat="1">
      <alignment horizontal="center" vertical="top"/>
    </xf>
    <xf borderId="4" fillId="33" fontId="7" numFmtId="0" xfId="0" applyAlignment="1" applyBorder="1" applyFill="1" applyFont="1">
      <alignment horizontal="center" vertical="top"/>
    </xf>
    <xf borderId="4" fillId="34" fontId="5" numFmtId="49" xfId="0" applyAlignment="1" applyBorder="1" applyFill="1" applyFont="1" applyNumberFormat="1">
      <alignment horizontal="center" vertical="top"/>
    </xf>
    <xf borderId="4" fillId="35" fontId="5" numFmtId="0" xfId="0" applyAlignment="1" applyBorder="1" applyFill="1" applyFont="1">
      <alignment horizontal="center" vertical="top"/>
    </xf>
    <xf borderId="4" fillId="36" fontId="5" numFmtId="0" xfId="0" applyAlignment="1" applyBorder="1" applyFill="1" applyFont="1">
      <alignment horizontal="center" vertical="top"/>
    </xf>
    <xf borderId="4" fillId="37" fontId="5" numFmtId="0" xfId="0" applyAlignment="1" applyBorder="1" applyFill="1" applyFont="1">
      <alignment horizontal="center" vertical="top"/>
    </xf>
    <xf borderId="4" fillId="12" fontId="5" numFmtId="0" xfId="0" applyAlignment="1" applyBorder="1" applyFont="1">
      <alignment horizontal="center" vertical="top"/>
    </xf>
    <xf borderId="4" fillId="38" fontId="5" numFmtId="49" xfId="0" applyAlignment="1" applyBorder="1" applyFill="1" applyFont="1" applyNumberFormat="1">
      <alignment horizontal="center" vertical="top"/>
    </xf>
    <xf borderId="4" fillId="39" fontId="7" numFmtId="0" xfId="0" applyAlignment="1" applyBorder="1" applyFill="1" applyFont="1">
      <alignment horizontal="center" vertical="top"/>
    </xf>
    <xf borderId="4" fillId="40" fontId="5" numFmtId="49" xfId="0" applyAlignment="1" applyBorder="1" applyFill="1" applyFont="1" applyNumberFormat="1">
      <alignment horizontal="center" vertical="top"/>
    </xf>
    <xf borderId="4" fillId="41" fontId="5" numFmtId="0" xfId="0" applyAlignment="1" applyBorder="1" applyFill="1" applyFont="1">
      <alignment horizontal="center" vertical="top"/>
    </xf>
    <xf borderId="4" fillId="42" fontId="5" numFmtId="0" xfId="0" applyAlignment="1" applyBorder="1" applyFill="1" applyFont="1">
      <alignment horizontal="center" vertical="top"/>
    </xf>
    <xf borderId="4" fillId="43" fontId="5" numFmtId="0" xfId="0" applyAlignment="1" applyBorder="1" applyFill="1" applyFont="1">
      <alignment horizontal="center" vertical="top"/>
    </xf>
    <xf borderId="4" fillId="44" fontId="5" numFmtId="0" xfId="0" applyAlignment="1" applyBorder="1" applyFill="1" applyFont="1">
      <alignment horizontal="center" vertical="top"/>
    </xf>
    <xf borderId="4" fillId="45" fontId="5" numFmtId="49" xfId="0" applyAlignment="1" applyBorder="1" applyFill="1" applyFont="1" applyNumberFormat="1">
      <alignment horizontal="center" vertical="top"/>
    </xf>
    <xf borderId="4" fillId="46" fontId="7" numFmtId="0" xfId="0" applyAlignment="1" applyBorder="1" applyFill="1" applyFont="1">
      <alignment horizontal="center" vertical="top"/>
    </xf>
    <xf borderId="4" fillId="27" fontId="5" numFmtId="49" xfId="0" applyAlignment="1" applyBorder="1" applyFont="1" applyNumberFormat="1">
      <alignment horizontal="center" vertical="top"/>
    </xf>
    <xf borderId="4" fillId="47" fontId="5" numFmtId="0" xfId="0" applyAlignment="1" applyBorder="1" applyFill="1" applyFont="1">
      <alignment horizontal="center" vertical="top"/>
    </xf>
    <xf borderId="4" fillId="48" fontId="5" numFmtId="0" xfId="0" applyAlignment="1" applyBorder="1" applyFill="1" applyFont="1">
      <alignment horizontal="center" vertical="top"/>
    </xf>
    <xf borderId="4" fillId="49" fontId="5" numFmtId="0" xfId="0" applyAlignment="1" applyBorder="1" applyFill="1" applyFont="1">
      <alignment horizontal="center" vertical="top"/>
    </xf>
    <xf borderId="4" fillId="50" fontId="5" numFmtId="49" xfId="0" applyAlignment="1" applyBorder="1" applyFill="1" applyFont="1" applyNumberFormat="1">
      <alignment horizontal="center" vertical="top"/>
    </xf>
    <xf borderId="4" fillId="51" fontId="7" numFmtId="0" xfId="0" applyAlignment="1" applyBorder="1" applyFill="1" applyFont="1">
      <alignment horizontal="center" vertical="top"/>
    </xf>
    <xf borderId="4" fillId="52" fontId="5" numFmtId="49" xfId="0" applyAlignment="1" applyBorder="1" applyFill="1" applyFont="1" applyNumberFormat="1">
      <alignment horizontal="center" vertical="top"/>
    </xf>
    <xf borderId="4" fillId="53" fontId="5" numFmtId="0" xfId="0" applyAlignment="1" applyBorder="1" applyFill="1" applyFont="1">
      <alignment horizontal="center" vertical="top"/>
    </xf>
    <xf borderId="4" fillId="54" fontId="5" numFmtId="0" xfId="0" applyAlignment="1" applyBorder="1" applyFill="1" applyFont="1">
      <alignment horizontal="center" vertical="top"/>
    </xf>
    <xf borderId="4" fillId="55" fontId="5" numFmtId="0" xfId="0" applyAlignment="1" applyBorder="1" applyFill="1" applyFont="1">
      <alignment horizontal="center" vertical="top"/>
    </xf>
    <xf borderId="4" fillId="56" fontId="5" numFmtId="0" xfId="0" applyAlignment="1" applyBorder="1" applyFill="1" applyFont="1">
      <alignment horizontal="center" vertical="top"/>
    </xf>
    <xf borderId="4" fillId="10" fontId="5" numFmtId="49" xfId="0" applyAlignment="1" applyBorder="1" applyFont="1" applyNumberFormat="1">
      <alignment horizontal="center" vertical="top"/>
    </xf>
    <xf borderId="4" fillId="57" fontId="7" numFmtId="0" xfId="0" applyAlignment="1" applyBorder="1" applyFill="1" applyFont="1">
      <alignment horizontal="center" vertical="top"/>
    </xf>
    <xf borderId="4" fillId="58" fontId="5" numFmtId="49" xfId="0" applyAlignment="1" applyBorder="1" applyFill="1" applyFont="1" applyNumberFormat="1">
      <alignment horizontal="center" vertical="top"/>
    </xf>
    <xf borderId="4" fillId="59" fontId="5" numFmtId="0" xfId="0" applyAlignment="1" applyBorder="1" applyFill="1" applyFont="1">
      <alignment horizontal="center" vertical="top"/>
    </xf>
    <xf borderId="4" fillId="60" fontId="5" numFmtId="0" xfId="0" applyAlignment="1" applyBorder="1" applyFill="1" applyFont="1">
      <alignment horizontal="center" vertical="top"/>
    </xf>
    <xf borderId="4" fillId="61" fontId="5" numFmtId="0" xfId="0" applyAlignment="1" applyBorder="1" applyFill="1" applyFont="1">
      <alignment horizontal="center" vertical="top"/>
    </xf>
    <xf borderId="4" fillId="62" fontId="5" numFmtId="0" xfId="0" applyAlignment="1" applyBorder="1" applyFill="1" applyFont="1">
      <alignment horizontal="center" vertical="top"/>
    </xf>
    <xf borderId="4" fillId="63" fontId="5" numFmtId="49" xfId="0" applyAlignment="1" applyBorder="1" applyFill="1" applyFont="1" applyNumberFormat="1">
      <alignment horizontal="center" vertical="top"/>
    </xf>
    <xf borderId="4" fillId="63" fontId="7" numFmtId="0" xfId="0" applyAlignment="1" applyBorder="1" applyFont="1">
      <alignment horizontal="center" vertical="top"/>
    </xf>
    <xf borderId="4" fillId="64" fontId="5" numFmtId="49" xfId="0" applyAlignment="1" applyBorder="1" applyFill="1" applyFont="1" applyNumberFormat="1">
      <alignment horizontal="center" vertical="top"/>
    </xf>
    <xf borderId="4" fillId="65" fontId="5" numFmtId="0" xfId="0" applyAlignment="1" applyBorder="1" applyFill="1" applyFont="1">
      <alignment horizontal="center" vertical="top"/>
    </xf>
    <xf borderId="4" fillId="66" fontId="5" numFmtId="0" xfId="0" applyAlignment="1" applyBorder="1" applyFill="1" applyFont="1">
      <alignment horizontal="center" vertical="top"/>
    </xf>
    <xf borderId="4" fillId="67" fontId="5" numFmtId="49" xfId="0" applyAlignment="1" applyBorder="1" applyFill="1" applyFont="1" applyNumberFormat="1">
      <alignment horizontal="center" vertical="top"/>
    </xf>
    <xf borderId="4" fillId="68" fontId="7" numFmtId="0" xfId="0" applyAlignment="1" applyBorder="1" applyFill="1" applyFont="1">
      <alignment horizontal="center" vertical="top"/>
    </xf>
    <xf borderId="4" fillId="69" fontId="5" numFmtId="49" xfId="0" applyAlignment="1" applyBorder="1" applyFill="1" applyFont="1" applyNumberFormat="1">
      <alignment horizontal="center" vertical="top"/>
    </xf>
    <xf borderId="4" fillId="70" fontId="5" numFmtId="0" xfId="0" applyAlignment="1" applyBorder="1" applyFill="1" applyFont="1">
      <alignment horizontal="center" vertical="top"/>
    </xf>
    <xf borderId="4" fillId="71" fontId="5" numFmtId="0" xfId="0" applyAlignment="1" applyBorder="1" applyFill="1" applyFont="1">
      <alignment horizontal="center" vertical="top"/>
    </xf>
    <xf borderId="4" fillId="72" fontId="5" numFmtId="49" xfId="0" applyAlignment="1" applyBorder="1" applyFill="1" applyFont="1" applyNumberFormat="1">
      <alignment horizontal="center" vertical="top"/>
    </xf>
    <xf borderId="4" fillId="73" fontId="7" numFmtId="0" xfId="0" applyAlignment="1" applyBorder="1" applyFill="1" applyFont="1">
      <alignment horizontal="center" vertical="top"/>
    </xf>
    <xf borderId="4" fillId="74" fontId="5" numFmtId="0" xfId="0" applyAlignment="1" applyBorder="1" applyFill="1" applyFont="1">
      <alignment horizontal="center" vertical="top"/>
    </xf>
    <xf borderId="4" fillId="75" fontId="5" numFmtId="0" xfId="0" applyAlignment="1" applyBorder="1" applyFill="1" applyFont="1">
      <alignment horizontal="center" vertical="top"/>
    </xf>
    <xf borderId="4" fillId="3" fontId="5" numFmtId="0" xfId="0" applyAlignment="1" applyBorder="1" applyFont="1">
      <alignment horizontal="center" vertical="top"/>
    </xf>
    <xf borderId="4" fillId="76" fontId="5" numFmtId="49" xfId="0" applyAlignment="1" applyBorder="1" applyFill="1" applyFont="1" applyNumberFormat="1">
      <alignment horizontal="center" vertical="top"/>
    </xf>
    <xf borderId="4" fillId="77" fontId="7" numFmtId="0" xfId="0" applyAlignment="1" applyBorder="1" applyFill="1" applyFont="1">
      <alignment horizontal="center" vertical="top"/>
    </xf>
    <xf borderId="4" fillId="78" fontId="5" numFmtId="49" xfId="0" applyAlignment="1" applyBorder="1" applyFill="1" applyFont="1" applyNumberFormat="1">
      <alignment horizontal="center" vertical="top"/>
    </xf>
    <xf borderId="4" fillId="79" fontId="5" numFmtId="0" xfId="0" applyAlignment="1" applyBorder="1" applyFill="1" applyFont="1">
      <alignment horizontal="center" vertical="top"/>
    </xf>
    <xf borderId="4" fillId="80" fontId="5" numFmtId="0" xfId="0" applyAlignment="1" applyBorder="1" applyFill="1" applyFont="1">
      <alignment horizontal="center" vertical="top"/>
    </xf>
    <xf borderId="4" fillId="81" fontId="5" numFmtId="49" xfId="0" applyAlignment="1" applyBorder="1" applyFill="1" applyFont="1" applyNumberFormat="1">
      <alignment horizontal="center" vertical="top"/>
    </xf>
    <xf borderId="4" fillId="82" fontId="7" numFmtId="0" xfId="0" applyAlignment="1" applyBorder="1" applyFill="1" applyFont="1">
      <alignment horizontal="center" vertical="top"/>
    </xf>
    <xf borderId="4" fillId="83" fontId="5" numFmtId="49" xfId="0" applyAlignment="1" applyBorder="1" applyFill="1" applyFont="1" applyNumberFormat="1">
      <alignment horizontal="center" vertical="top"/>
    </xf>
    <xf borderId="4" fillId="84" fontId="5" numFmtId="0" xfId="0" applyAlignment="1" applyBorder="1" applyFill="1" applyFont="1">
      <alignment horizontal="center" vertical="top"/>
    </xf>
    <xf borderId="4" fillId="85" fontId="5" numFmtId="0" xfId="0" applyAlignment="1" applyBorder="1" applyFill="1" applyFont="1">
      <alignment horizontal="center" vertical="top"/>
    </xf>
    <xf borderId="4" fillId="86" fontId="5" numFmtId="49" xfId="0" applyAlignment="1" applyBorder="1" applyFill="1" applyFont="1" applyNumberFormat="1">
      <alignment horizontal="center" vertical="top"/>
    </xf>
    <xf borderId="4" fillId="87" fontId="7" numFmtId="0" xfId="0" applyAlignment="1" applyBorder="1" applyFill="1" applyFont="1">
      <alignment horizontal="center" vertical="top"/>
    </xf>
    <xf borderId="4" fillId="88" fontId="5" numFmtId="0" xfId="0" applyAlignment="1" applyBorder="1" applyFill="1" applyFont="1">
      <alignment horizontal="center" vertical="top"/>
    </xf>
    <xf borderId="4" fillId="77" fontId="5" numFmtId="0" xfId="0" applyAlignment="1" applyBorder="1" applyFont="1">
      <alignment horizontal="center" vertical="top"/>
    </xf>
    <xf borderId="4" fillId="89" fontId="7" numFmtId="0" xfId="0" applyAlignment="1" applyBorder="1" applyFill="1" applyFont="1">
      <alignment horizontal="center" vertical="top"/>
    </xf>
    <xf borderId="4" fillId="90" fontId="5" numFmtId="49" xfId="0" applyAlignment="1" applyBorder="1" applyFill="1" applyFont="1" applyNumberFormat="1">
      <alignment horizontal="center" vertical="top"/>
    </xf>
    <xf borderId="4" fillId="91" fontId="5" numFmtId="0" xfId="0" applyAlignment="1" applyBorder="1" applyFill="1" applyFont="1">
      <alignment horizontal="center" vertical="top"/>
    </xf>
    <xf borderId="4" fillId="89" fontId="5" numFmtId="49" xfId="0" applyAlignment="1" applyBorder="1" applyFont="1" applyNumberFormat="1">
      <alignment horizontal="center" vertical="top"/>
    </xf>
    <xf borderId="4" fillId="17" fontId="7" numFmtId="0" xfId="0" applyAlignment="1" applyBorder="1" applyFont="1">
      <alignment horizontal="center" vertical="top"/>
    </xf>
    <xf borderId="4" fillId="53" fontId="5" numFmtId="49" xfId="0" applyAlignment="1" applyBorder="1" applyFont="1" applyNumberFormat="1">
      <alignment horizontal="center" vertical="top"/>
    </xf>
    <xf borderId="4" fillId="92" fontId="5" numFmtId="0" xfId="0" applyAlignment="1" applyBorder="1" applyFill="1" applyFont="1">
      <alignment horizontal="center" vertical="top"/>
    </xf>
    <xf borderId="4" fillId="93" fontId="5" numFmtId="0" xfId="0" applyAlignment="1" applyBorder="1" applyFill="1" applyFont="1">
      <alignment horizontal="center" vertical="top"/>
    </xf>
    <xf borderId="4" fillId="94" fontId="5" numFmtId="0" xfId="0" applyAlignment="1" applyBorder="1" applyFill="1" applyFont="1">
      <alignment horizontal="center" vertical="top"/>
    </xf>
    <xf borderId="4" fillId="95" fontId="5" numFmtId="0" xfId="0" applyAlignment="1" applyBorder="1" applyFill="1" applyFont="1">
      <alignment horizontal="center" vertical="top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4" fillId="96" fontId="5" numFmtId="49" xfId="0" applyAlignment="1" applyBorder="1" applyFill="1" applyFont="1" applyNumberFormat="1">
      <alignment horizontal="center" vertical="top"/>
    </xf>
    <xf borderId="4" fillId="97" fontId="7" numFmtId="0" xfId="0" applyAlignment="1" applyBorder="1" applyFill="1" applyFont="1">
      <alignment horizontal="center" vertical="top"/>
    </xf>
    <xf borderId="4" fillId="77" fontId="5" numFmtId="49" xfId="0" applyAlignment="1" applyBorder="1" applyFont="1" applyNumberFormat="1">
      <alignment horizontal="center" vertical="top"/>
    </xf>
    <xf borderId="4" fillId="98" fontId="5" numFmtId="0" xfId="0" applyAlignment="1" applyBorder="1" applyFill="1" applyFont="1">
      <alignment horizontal="center" vertical="top"/>
    </xf>
    <xf borderId="4" fillId="85" fontId="5" numFmtId="49" xfId="0" applyAlignment="1" applyBorder="1" applyFont="1" applyNumberFormat="1">
      <alignment horizontal="center" vertical="top"/>
    </xf>
    <xf borderId="4" fillId="10" fontId="5" numFmtId="0" xfId="0" applyAlignment="1" applyBorder="1" applyFont="1">
      <alignment horizontal="center" vertical="top"/>
    </xf>
    <xf borderId="4" fillId="99" fontId="5" numFmtId="0" xfId="0" applyAlignment="1" applyBorder="1" applyFill="1" applyFont="1">
      <alignment horizontal="center" vertical="top"/>
    </xf>
    <xf borderId="4" fillId="100" fontId="5" numFmtId="49" xfId="0" applyAlignment="1" applyBorder="1" applyFill="1" applyFont="1" applyNumberFormat="1">
      <alignment horizontal="center" vertical="top"/>
    </xf>
    <xf borderId="4" fillId="98" fontId="7" numFmtId="0" xfId="0" applyAlignment="1" applyBorder="1" applyFont="1">
      <alignment horizontal="center" vertical="top"/>
    </xf>
    <xf borderId="4" fillId="75" fontId="5" numFmtId="49" xfId="0" applyAlignment="1" applyBorder="1" applyFont="1" applyNumberFormat="1">
      <alignment horizontal="center" vertical="top"/>
    </xf>
    <xf borderId="4" fillId="101" fontId="5" numFmtId="0" xfId="0" applyAlignment="1" applyBorder="1" applyFill="1" applyFont="1">
      <alignment horizontal="center" vertical="top"/>
    </xf>
    <xf borderId="4" fillId="102" fontId="5" numFmtId="0" xfId="0" applyAlignment="1" applyBorder="1" applyFill="1" applyFont="1">
      <alignment horizontal="center" vertical="top"/>
    </xf>
    <xf borderId="4" fillId="103" fontId="5" numFmtId="0" xfId="0" applyAlignment="1" applyBorder="1" applyFill="1" applyFont="1">
      <alignment horizontal="center" vertical="top"/>
    </xf>
    <xf borderId="4" fillId="104" fontId="5" numFmtId="0" xfId="0" applyAlignment="1" applyBorder="1" applyFill="1" applyFont="1">
      <alignment horizontal="center" vertical="top"/>
    </xf>
    <xf borderId="4" fillId="105" fontId="7" numFmtId="0" xfId="0" applyAlignment="1" applyBorder="1" applyFill="1" applyFont="1">
      <alignment horizontal="center" vertical="top"/>
    </xf>
    <xf borderId="4" fillId="106" fontId="5" numFmtId="49" xfId="0" applyAlignment="1" applyBorder="1" applyFill="1" applyFont="1" applyNumberFormat="1">
      <alignment horizontal="center" vertical="top"/>
    </xf>
    <xf borderId="4" fillId="8" fontId="5" numFmtId="0" xfId="0" applyAlignment="1" applyBorder="1" applyFont="1">
      <alignment horizontal="center" vertical="top"/>
    </xf>
    <xf borderId="4" fillId="107" fontId="5" numFmtId="0" xfId="0" applyAlignment="1" applyBorder="1" applyFill="1" applyFont="1">
      <alignment horizontal="center" vertical="top"/>
    </xf>
    <xf borderId="4" fillId="108" fontId="5" numFmtId="0" xfId="0" applyAlignment="1" applyBorder="1" applyFill="1" applyFont="1">
      <alignment horizontal="center" vertical="top"/>
    </xf>
    <xf borderId="2" fillId="5" fontId="6" numFmtId="49" xfId="0" applyAlignment="1" applyBorder="1" applyFont="1" applyNumberFormat="1">
      <alignment horizontal="center" readingOrder="0" vertical="bottom"/>
    </xf>
    <xf borderId="2" fillId="75" fontId="5" numFmtId="49" xfId="0" applyAlignment="1" applyBorder="1" applyFont="1" applyNumberFormat="1">
      <alignment horizontal="center" vertical="top"/>
    </xf>
    <xf borderId="2" fillId="75" fontId="7" numFmtId="0" xfId="0" applyAlignment="1" applyBorder="1" applyFont="1">
      <alignment horizontal="center" vertical="top"/>
    </xf>
    <xf borderId="2" fillId="109" fontId="5" numFmtId="49" xfId="0" applyAlignment="1" applyBorder="1" applyFill="1" applyFont="1" applyNumberFormat="1">
      <alignment horizontal="center" vertical="top"/>
    </xf>
    <xf borderId="2" fillId="8" fontId="5" numFmtId="0" xfId="0" applyAlignment="1" applyBorder="1" applyFont="1">
      <alignment horizontal="center" vertical="top"/>
    </xf>
    <xf borderId="2" fillId="17" fontId="5" numFmtId="0" xfId="0" applyAlignment="1" applyBorder="1" applyFont="1">
      <alignment horizontal="center" vertical="top"/>
    </xf>
    <xf borderId="2" fillId="104" fontId="5" numFmtId="0" xfId="0" applyAlignment="1" applyBorder="1" applyFont="1">
      <alignment horizontal="center" vertical="top"/>
    </xf>
    <xf borderId="4" fillId="110" fontId="5" numFmtId="49" xfId="0" applyAlignment="1" applyBorder="1" applyFill="1" applyFont="1" applyNumberFormat="1">
      <alignment horizontal="center" vertical="top"/>
    </xf>
    <xf borderId="4" fillId="111" fontId="7" numFmtId="0" xfId="0" applyAlignment="1" applyBorder="1" applyFill="1" applyFont="1">
      <alignment horizontal="center" vertical="top"/>
    </xf>
    <xf borderId="4" fillId="112" fontId="5" numFmtId="49" xfId="0" applyAlignment="1" applyBorder="1" applyFill="1" applyFont="1" applyNumberFormat="1">
      <alignment horizontal="center" vertical="top"/>
    </xf>
    <xf borderId="4" fillId="113" fontId="5" numFmtId="0" xfId="0" applyAlignment="1" applyBorder="1" applyFill="1" applyFont="1">
      <alignment horizontal="center" vertical="top"/>
    </xf>
    <xf borderId="4" fillId="114" fontId="5" numFmtId="0" xfId="0" applyAlignment="1" applyBorder="1" applyFill="1" applyFont="1">
      <alignment horizontal="center" vertical="top"/>
    </xf>
    <xf borderId="4" fillId="115" fontId="5" numFmtId="0" xfId="0" applyAlignment="1" applyBorder="1" applyFill="1" applyFont="1">
      <alignment horizontal="center" vertical="top"/>
    </xf>
    <xf borderId="4" fillId="116" fontId="5" numFmtId="49" xfId="0" applyAlignment="1" applyBorder="1" applyFill="1" applyFont="1" applyNumberFormat="1">
      <alignment horizontal="center" vertical="top"/>
    </xf>
    <xf borderId="4" fillId="117" fontId="7" numFmtId="0" xfId="0" applyAlignment="1" applyBorder="1" applyFill="1" applyFont="1">
      <alignment horizontal="center" vertical="top"/>
    </xf>
    <xf borderId="4" fillId="118" fontId="5" numFmtId="49" xfId="0" applyAlignment="1" applyBorder="1" applyFill="1" applyFont="1" applyNumberFormat="1">
      <alignment horizontal="center" vertical="top"/>
    </xf>
    <xf borderId="4" fillId="119" fontId="5" numFmtId="0" xfId="0" applyAlignment="1" applyBorder="1" applyFill="1" applyFont="1">
      <alignment horizontal="center" vertical="top"/>
    </xf>
    <xf borderId="4" fillId="111" fontId="5" numFmtId="49" xfId="0" applyAlignment="1" applyBorder="1" applyFont="1" applyNumberFormat="1">
      <alignment horizontal="center" vertical="top"/>
    </xf>
    <xf borderId="4" fillId="120" fontId="7" numFmtId="0" xfId="0" applyAlignment="1" applyBorder="1" applyFill="1" applyFont="1">
      <alignment horizontal="center" vertical="top"/>
    </xf>
    <xf borderId="4" fillId="121" fontId="5" numFmtId="49" xfId="0" applyAlignment="1" applyBorder="1" applyFill="1" applyFont="1" applyNumberFormat="1">
      <alignment horizontal="center" vertical="top"/>
    </xf>
    <xf borderId="4" fillId="122" fontId="5" numFmtId="0" xfId="0" applyAlignment="1" applyBorder="1" applyFill="1" applyFont="1">
      <alignment horizontal="center" vertical="top"/>
    </xf>
    <xf borderId="4" fillId="123" fontId="5" numFmtId="49" xfId="0" applyAlignment="1" applyBorder="1" applyFill="1" applyFont="1" applyNumberFormat="1">
      <alignment horizontal="center" vertical="top"/>
    </xf>
    <xf borderId="4" fillId="124" fontId="7" numFmtId="0" xfId="0" applyAlignment="1" applyBorder="1" applyFill="1" applyFont="1">
      <alignment horizontal="center" vertical="top"/>
    </xf>
    <xf borderId="4" fillId="125" fontId="5" numFmtId="49" xfId="0" applyAlignment="1" applyBorder="1" applyFill="1" applyFont="1" applyNumberFormat="1">
      <alignment horizontal="center" vertical="top"/>
    </xf>
    <xf borderId="4" fillId="126" fontId="5" numFmtId="0" xfId="0" applyAlignment="1" applyBorder="1" applyFill="1" applyFont="1">
      <alignment horizontal="center" vertical="top"/>
    </xf>
    <xf borderId="4" fillId="33" fontId="5" numFmtId="0" xfId="0" applyAlignment="1" applyBorder="1" applyFont="1">
      <alignment horizontal="center" vertical="top"/>
    </xf>
    <xf borderId="4" fillId="127" fontId="5" numFmtId="0" xfId="0" applyAlignment="1" applyBorder="1" applyFill="1" applyFont="1">
      <alignment horizontal="center" vertical="top"/>
    </xf>
    <xf borderId="4" fillId="128" fontId="5" numFmtId="49" xfId="0" applyAlignment="1" applyBorder="1" applyFill="1" applyFont="1" applyNumberFormat="1">
      <alignment horizontal="center" vertical="top"/>
    </xf>
    <xf borderId="4" fillId="129" fontId="7" numFmtId="0" xfId="0" applyAlignment="1" applyBorder="1" applyFill="1" applyFont="1">
      <alignment horizontal="center" vertical="top"/>
    </xf>
    <xf borderId="4" fillId="130" fontId="5" numFmtId="49" xfId="0" applyAlignment="1" applyBorder="1" applyFill="1" applyFont="1" applyNumberFormat="1">
      <alignment horizontal="center" vertical="top"/>
    </xf>
    <xf borderId="4" fillId="131" fontId="5" numFmtId="0" xfId="0" applyAlignment="1" applyBorder="1" applyFill="1" applyFont="1">
      <alignment horizontal="center" vertical="top"/>
    </xf>
    <xf borderId="4" fillId="132" fontId="5" numFmtId="49" xfId="0" applyAlignment="1" applyBorder="1" applyFill="1" applyFont="1" applyNumberFormat="1">
      <alignment horizontal="center" vertical="top"/>
    </xf>
    <xf borderId="4" fillId="133" fontId="7" numFmtId="0" xfId="0" applyAlignment="1" applyBorder="1" applyFill="1" applyFont="1">
      <alignment horizontal="center" vertical="top"/>
    </xf>
    <xf borderId="4" fillId="134" fontId="5" numFmtId="49" xfId="0" applyAlignment="1" applyBorder="1" applyFill="1" applyFont="1" applyNumberFormat="1">
      <alignment horizontal="center" vertical="top"/>
    </xf>
    <xf borderId="4" fillId="135" fontId="5" numFmtId="0" xfId="0" applyAlignment="1" applyBorder="1" applyFill="1" applyFont="1">
      <alignment horizontal="center" vertical="top"/>
    </xf>
    <xf borderId="4" fillId="136" fontId="5" numFmtId="0" xfId="0" applyAlignment="1" applyBorder="1" applyFill="1" applyFont="1">
      <alignment horizontal="center" vertical="top"/>
    </xf>
    <xf borderId="4" fillId="137" fontId="5" numFmtId="49" xfId="0" applyAlignment="1" applyBorder="1" applyFill="1" applyFont="1" applyNumberFormat="1">
      <alignment horizontal="center" vertical="top"/>
    </xf>
    <xf borderId="4" fillId="138" fontId="7" numFmtId="0" xfId="0" applyAlignment="1" applyBorder="1" applyFill="1" applyFont="1">
      <alignment horizontal="center" vertical="top"/>
    </xf>
    <xf borderId="4" fillId="139" fontId="5" numFmtId="49" xfId="0" applyAlignment="1" applyBorder="1" applyFill="1" applyFont="1" applyNumberFormat="1">
      <alignment horizontal="center" vertical="top"/>
    </xf>
    <xf borderId="4" fillId="140" fontId="5" numFmtId="0" xfId="0" applyAlignment="1" applyBorder="1" applyFill="1" applyFont="1">
      <alignment horizontal="center" vertical="top"/>
    </xf>
    <xf borderId="4" fillId="141" fontId="5" numFmtId="49" xfId="0" applyAlignment="1" applyBorder="1" applyFill="1" applyFont="1" applyNumberFormat="1">
      <alignment horizontal="center" vertical="top"/>
    </xf>
    <xf borderId="4" fillId="142" fontId="7" numFmtId="0" xfId="0" applyAlignment="1" applyBorder="1" applyFill="1" applyFont="1">
      <alignment horizontal="center" vertical="top"/>
    </xf>
    <xf borderId="4" fillId="120" fontId="5" numFmtId="49" xfId="0" applyAlignment="1" applyBorder="1" applyFont="1" applyNumberFormat="1">
      <alignment horizontal="center" vertical="top"/>
    </xf>
    <xf borderId="4" fillId="143" fontId="5" numFmtId="0" xfId="0" applyAlignment="1" applyBorder="1" applyFill="1" applyFont="1">
      <alignment horizontal="center" vertical="top"/>
    </xf>
    <xf borderId="4" fillId="144" fontId="5" numFmtId="49" xfId="0" applyAlignment="1" applyBorder="1" applyFill="1" applyFont="1" applyNumberFormat="1">
      <alignment horizontal="center" vertical="top"/>
    </xf>
    <xf borderId="4" fillId="112" fontId="7" numFmtId="0" xfId="0" applyAlignment="1" applyBorder="1" applyFont="1">
      <alignment horizontal="center" vertical="top"/>
    </xf>
    <xf borderId="4" fillId="145" fontId="5" numFmtId="49" xfId="0" applyAlignment="1" applyBorder="1" applyFill="1" applyFont="1" applyNumberFormat="1">
      <alignment horizontal="center" vertical="top"/>
    </xf>
    <xf borderId="4" fillId="146" fontId="5" numFmtId="0" xfId="0" applyAlignment="1" applyBorder="1" applyFill="1" applyFont="1">
      <alignment horizontal="center" vertical="top"/>
    </xf>
    <xf borderId="5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7" fillId="4" fontId="5" numFmtId="49" xfId="0" applyAlignment="1" applyBorder="1" applyFont="1" applyNumberFormat="1">
      <alignment horizontal="center" vertical="bottom"/>
    </xf>
    <xf borderId="8" fillId="5" fontId="6" numFmtId="49" xfId="0" applyAlignment="1" applyBorder="1" applyFont="1" applyNumberFormat="1">
      <alignment horizontal="center" readingOrder="0" vertical="bottom"/>
    </xf>
    <xf borderId="8" fillId="5" fontId="3" numFmtId="49" xfId="0" applyAlignment="1" applyBorder="1" applyFont="1" applyNumberFormat="1">
      <alignment horizontal="center" vertical="bottom"/>
    </xf>
    <xf borderId="8" fillId="13" fontId="5" numFmtId="49" xfId="0" applyAlignment="1" applyBorder="1" applyFont="1" applyNumberFormat="1">
      <alignment horizontal="center" vertical="top"/>
    </xf>
    <xf borderId="8" fillId="14" fontId="7" numFmtId="0" xfId="0" applyAlignment="1" applyBorder="1" applyFont="1">
      <alignment horizontal="center" vertical="top"/>
    </xf>
    <xf borderId="8" fillId="15" fontId="5" numFmtId="49" xfId="0" applyAlignment="1" applyBorder="1" applyFont="1" applyNumberFormat="1">
      <alignment horizontal="center" vertical="top"/>
    </xf>
    <xf borderId="8" fillId="16" fontId="5" numFmtId="0" xfId="0" applyAlignment="1" applyBorder="1" applyFont="1">
      <alignment horizontal="center" vertical="top"/>
    </xf>
    <xf borderId="8" fillId="17" fontId="5" numFmtId="0" xfId="0" applyAlignment="1" applyBorder="1" applyFont="1">
      <alignment horizontal="center" vertical="top"/>
    </xf>
    <xf borderId="8" fillId="18" fontId="5" numFmtId="0" xfId="0" applyAlignment="1" applyBorder="1" applyFont="1">
      <alignment horizontal="center" vertical="top"/>
    </xf>
    <xf borderId="8" fillId="5" fontId="5" numFmtId="49" xfId="0" applyAlignment="1" applyBorder="1" applyFont="1" applyNumberFormat="1">
      <alignment horizontal="center" vertical="bottom"/>
    </xf>
    <xf borderId="8" fillId="3" fontId="5" numFmtId="49" xfId="0" applyAlignment="1" applyBorder="1" applyFont="1" applyNumberFormat="1">
      <alignment horizontal="center" vertical="top"/>
    </xf>
    <xf borderId="8" fillId="3" fontId="7" numFmtId="0" xfId="0" applyAlignment="1" applyBorder="1" applyFont="1">
      <alignment horizontal="center" vertical="top"/>
    </xf>
    <xf borderId="8" fillId="3" fontId="7" numFmtId="49" xfId="0" applyAlignment="1" applyBorder="1" applyFont="1" applyNumberFormat="1">
      <alignment horizontal="center" vertical="top"/>
    </xf>
    <xf borderId="9" fillId="19" fontId="5" numFmtId="0" xfId="0" applyAlignment="1" applyBorder="1" applyFont="1">
      <alignment horizontal="center" vertical="top"/>
    </xf>
    <xf borderId="2" fillId="5" fontId="8" numFmtId="0" xfId="0" applyAlignment="1" applyBorder="1" applyFont="1">
      <alignment vertical="top"/>
    </xf>
    <xf borderId="8" fillId="2" fontId="6" numFmtId="49" xfId="0" applyAlignment="1" applyBorder="1" applyFont="1" applyNumberFormat="1">
      <alignment horizontal="center" readingOrder="0" vertical="bottom"/>
    </xf>
    <xf borderId="8" fillId="78" fontId="5" numFmtId="49" xfId="0" applyAlignment="1" applyBorder="1" applyFont="1" applyNumberFormat="1">
      <alignment horizontal="center" vertical="top"/>
    </xf>
    <xf borderId="8" fillId="105" fontId="7" numFmtId="0" xfId="0" applyAlignment="1" applyBorder="1" applyFont="1">
      <alignment horizontal="center" vertical="top"/>
    </xf>
    <xf borderId="8" fillId="106" fontId="5" numFmtId="49" xfId="0" applyAlignment="1" applyBorder="1" applyFont="1" applyNumberFormat="1">
      <alignment horizontal="center" vertical="top"/>
    </xf>
    <xf borderId="8" fillId="8" fontId="5" numFmtId="0" xfId="0" applyAlignment="1" applyBorder="1" applyFont="1">
      <alignment horizontal="center" vertical="top"/>
    </xf>
    <xf borderId="8" fillId="107" fontId="5" numFmtId="0" xfId="0" applyAlignment="1" applyBorder="1" applyFont="1">
      <alignment horizontal="center" vertical="top"/>
    </xf>
    <xf borderId="9" fillId="108" fontId="5" numFmtId="0" xfId="0" applyAlignment="1" applyBorder="1" applyFont="1">
      <alignment horizontal="center" vertical="top"/>
    </xf>
    <xf borderId="4" fillId="147" fontId="7" numFmtId="0" xfId="0" applyAlignment="1" applyBorder="1" applyFill="1" applyFont="1">
      <alignment horizontal="center" vertical="top"/>
    </xf>
    <xf borderId="4" fillId="148" fontId="5" numFmtId="0" xfId="0" applyAlignment="1" applyBorder="1" applyFill="1" applyFont="1">
      <alignment horizontal="center" vertical="top"/>
    </xf>
    <xf borderId="0" fillId="149" fontId="12" numFmtId="0" xfId="0" applyAlignment="1" applyFill="1" applyFont="1">
      <alignment horizontal="left" readingOrder="0"/>
    </xf>
    <xf borderId="2" fillId="13" fontId="5" numFmtId="49" xfId="0" applyAlignment="1" applyBorder="1" applyFont="1" applyNumberFormat="1">
      <alignment horizontal="center" vertical="top"/>
    </xf>
    <xf borderId="2" fillId="14" fontId="7" numFmtId="0" xfId="0" applyAlignment="1" applyBorder="1" applyFont="1">
      <alignment horizontal="center" vertical="top"/>
    </xf>
    <xf borderId="2" fillId="15" fontId="5" numFmtId="49" xfId="0" applyAlignment="1" applyBorder="1" applyFont="1" applyNumberFormat="1">
      <alignment horizontal="center" vertical="top"/>
    </xf>
    <xf borderId="2" fillId="16" fontId="5" numFmtId="0" xfId="0" applyAlignment="1" applyBorder="1" applyFont="1">
      <alignment horizontal="center" vertical="top"/>
    </xf>
    <xf borderId="2" fillId="18" fontId="5" numFmtId="0" xfId="0" applyAlignment="1" applyBorder="1" applyFont="1">
      <alignment horizontal="center" vertical="top"/>
    </xf>
    <xf borderId="2" fillId="19" fontId="5" numFmtId="0" xfId="0" applyAlignment="1" applyBorder="1" applyFont="1">
      <alignment horizontal="center" vertical="top"/>
    </xf>
    <xf borderId="4" fillId="87" fontId="5" numFmtId="49" xfId="0" applyAlignment="1" applyBorder="1" applyFont="1" applyNumberFormat="1">
      <alignment horizontal="center" vertical="top"/>
    </xf>
    <xf borderId="4" fillId="69" fontId="7" numFmtId="0" xfId="0" applyAlignment="1" applyBorder="1" applyFont="1">
      <alignment horizontal="center" vertical="top"/>
    </xf>
    <xf borderId="4" fillId="150" fontId="5" numFmtId="49" xfId="0" applyAlignment="1" applyBorder="1" applyFill="1" applyFont="1" applyNumberFormat="1">
      <alignment horizontal="center" vertical="top"/>
    </xf>
    <xf borderId="4" fillId="11" fontId="5" numFmtId="0" xfId="0" applyAlignment="1" applyBorder="1" applyFont="1">
      <alignment horizontal="center" vertical="top"/>
    </xf>
    <xf borderId="4" fillId="6" fontId="5" numFmtId="49" xfId="0" applyAlignment="1" applyBorder="1" applyFont="1" applyNumberFormat="1">
      <alignment horizontal="center" vertical="top"/>
    </xf>
    <xf borderId="4" fillId="7" fontId="7" numFmtId="0" xfId="0" applyAlignment="1" applyBorder="1" applyFont="1">
      <alignment horizontal="center" vertical="top"/>
    </xf>
    <xf borderId="4" fillId="8" fontId="5" numFmtId="49" xfId="0" applyAlignment="1" applyBorder="1" applyFont="1" applyNumberFormat="1">
      <alignment horizontal="center" vertical="top"/>
    </xf>
    <xf borderId="4" fillId="9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2.88"/>
    <col customWidth="1" min="3" max="3" width="33.75"/>
    <col customWidth="1" min="4" max="4" width="9.38"/>
    <col customWidth="1" min="5" max="5" width="10.0"/>
    <col customWidth="1" min="6" max="6" width="9.25"/>
    <col customWidth="1" min="7" max="7" width="6.5"/>
    <col customWidth="1" min="8" max="8" width="5.63"/>
    <col customWidth="1" min="9" max="9" width="7.75"/>
    <col customWidth="1" min="10" max="10" width="6.25"/>
    <col customWidth="1" min="11" max="11" width="5.38"/>
    <col customWidth="1" min="12" max="12" width="5.0"/>
    <col customWidth="1" min="13" max="16" width="4.88"/>
    <col customWidth="1" min="17" max="17" width="4.13"/>
    <col customWidth="1" min="18" max="18" width="4.63"/>
    <col customWidth="1" min="19" max="20" width="4.25"/>
    <col customWidth="1" min="21" max="21" width="4.38"/>
    <col customWidth="1" min="22" max="22" width="8.75"/>
    <col customWidth="1" min="23" max="23" width="9.5"/>
    <col customWidth="1" min="24" max="24" width="9.25"/>
    <col customWidth="1" min="25" max="25" width="7.25"/>
    <col customWidth="1" min="26" max="26" width="8.63"/>
    <col customWidth="1" min="27" max="27" width="9.0"/>
    <col customWidth="1" min="28" max="28" width="6.5"/>
    <col customWidth="1" min="29" max="29" width="6.38"/>
    <col customWidth="1" min="30" max="30" width="5.38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A5" s="1"/>
      <c r="B5" s="3" t="s">
        <v>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4"/>
      <c r="B6" s="5" t="s">
        <v>1</v>
      </c>
      <c r="C6" s="5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6" t="s">
        <v>24</v>
      </c>
      <c r="Z6" s="6" t="s">
        <v>25</v>
      </c>
      <c r="AA6" s="6" t="s">
        <v>26</v>
      </c>
      <c r="AB6" s="6" t="s">
        <v>27</v>
      </c>
      <c r="AC6" s="6" t="s">
        <v>28</v>
      </c>
      <c r="AD6" s="6" t="s">
        <v>29</v>
      </c>
      <c r="AE6" s="6" t="s">
        <v>30</v>
      </c>
      <c r="AF6" s="7" t="s">
        <v>31</v>
      </c>
      <c r="AG6" s="7" t="s">
        <v>32</v>
      </c>
      <c r="AH6" s="7" t="s">
        <v>33</v>
      </c>
      <c r="AI6" s="7" t="s">
        <v>34</v>
      </c>
      <c r="AJ6" s="7" t="s">
        <v>35</v>
      </c>
      <c r="AK6" s="7" t="s">
        <v>36</v>
      </c>
      <c r="AL6" s="7" t="s">
        <v>37</v>
      </c>
      <c r="AM6" s="7" t="s">
        <v>38</v>
      </c>
    </row>
    <row r="7">
      <c r="A7" s="8"/>
      <c r="B7" s="9" t="s">
        <v>39</v>
      </c>
      <c r="C7" s="10" t="s">
        <v>40</v>
      </c>
      <c r="D7" s="11">
        <f t="shared" ref="D7:D23" si="1">ROUND((W:W) + (X:X),3)</f>
        <v>1.38</v>
      </c>
      <c r="E7" s="12">
        <f t="shared" ref="E7:E23" si="2">ROUND((((0.69*(R:R)))+(0.722*(AF:AF))+(0.888*(AB:AB))+ (1.271*(N:N))+(1.616*(O:O))+(2.101*(P:P)))/(((K:K)+(R:R)+(AH:AH)+(AF:AF))), 3)</f>
        <v>0.565</v>
      </c>
      <c r="F7" s="13">
        <f t="shared" ref="F7:F23" si="3">X:X - V:V</f>
        <v>0.491</v>
      </c>
      <c r="G7" s="14">
        <f t="shared" ref="G7:G23" si="4">ROUND((S:S)/(AC:AC),2) * 100</f>
        <v>20</v>
      </c>
      <c r="H7" s="15">
        <f t="shared" ref="H7:H23" si="5">ROUND((R:R)/(AC:AC),2) * 100</f>
        <v>19</v>
      </c>
      <c r="I7" s="16">
        <f t="shared" ref="I7:I23" si="6">ROUND(R:R / S:S, 2)</f>
        <v>0.97</v>
      </c>
      <c r="J7" s="17">
        <v>52.0</v>
      </c>
      <c r="K7" s="17">
        <v>157.0</v>
      </c>
      <c r="L7" s="17">
        <v>56.0</v>
      </c>
      <c r="M7" s="17">
        <v>60.0</v>
      </c>
      <c r="N7" s="17">
        <v>8.0</v>
      </c>
      <c r="O7" s="17">
        <v>3.0</v>
      </c>
      <c r="P7" s="17">
        <v>21.0</v>
      </c>
      <c r="Q7" s="17">
        <v>66.0</v>
      </c>
      <c r="R7" s="17">
        <v>38.0</v>
      </c>
      <c r="S7" s="17">
        <v>39.0</v>
      </c>
      <c r="T7" s="17">
        <v>6.0</v>
      </c>
      <c r="U7" s="17">
        <v>0.0</v>
      </c>
      <c r="V7" s="17">
        <v>0.382</v>
      </c>
      <c r="W7" s="17">
        <v>0.507</v>
      </c>
      <c r="X7" s="17">
        <v>0.873</v>
      </c>
      <c r="Y7" s="18">
        <f t="shared" ref="Y7:Y23" si="7">AB7 + 2*N7 + 3*O7 + 4*P7</f>
        <v>137</v>
      </c>
      <c r="Z7" s="19">
        <f t="shared" ref="Z7:Z23" si="8">ROUND(((M:M)-(P:P))/((K:K)-(S:S)-(P:P)+(AH:AH)), 3)</f>
        <v>0.402</v>
      </c>
      <c r="AA7" s="20">
        <f t="shared" ref="AA7:AA23" si="9">Z:Z - V:V</f>
        <v>0.02</v>
      </c>
      <c r="AB7" s="20">
        <f t="shared" ref="AB7:AB23" si="10">(M:M)-(N:N)-(O:O)-(P:P)</f>
        <v>28</v>
      </c>
      <c r="AC7" s="18">
        <f t="shared" ref="AC7:AC23" si="11">K:K + R:R + AH:AH + AI:AI</f>
        <v>195</v>
      </c>
      <c r="AD7" s="21">
        <f t="shared" ref="AD7:AD17" si="12">ROUND((T:T)/(T:T + U:U), 2)</f>
        <v>1</v>
      </c>
      <c r="AE7" s="22" t="s">
        <v>41</v>
      </c>
      <c r="AF7" s="23"/>
      <c r="AG7" s="23"/>
      <c r="AH7" s="23"/>
      <c r="AI7" s="23"/>
      <c r="AJ7" s="23"/>
      <c r="AK7" s="23"/>
      <c r="AL7" s="23"/>
      <c r="AM7" s="23"/>
    </row>
    <row r="8">
      <c r="A8" s="24"/>
      <c r="B8" s="25" t="s">
        <v>42</v>
      </c>
      <c r="C8" s="26" t="s">
        <v>43</v>
      </c>
      <c r="D8" s="27">
        <f t="shared" si="1"/>
        <v>1.325</v>
      </c>
      <c r="E8" s="28">
        <f t="shared" si="2"/>
        <v>0.562</v>
      </c>
      <c r="F8" s="29">
        <f t="shared" si="3"/>
        <v>0.302</v>
      </c>
      <c r="G8" s="30">
        <f t="shared" si="4"/>
        <v>19</v>
      </c>
      <c r="H8" s="31">
        <f t="shared" si="5"/>
        <v>17</v>
      </c>
      <c r="I8" s="32">
        <f t="shared" si="6"/>
        <v>0.9</v>
      </c>
      <c r="J8" s="33">
        <v>44.0</v>
      </c>
      <c r="K8" s="33">
        <v>126.0</v>
      </c>
      <c r="L8" s="33">
        <v>37.0</v>
      </c>
      <c r="M8" s="33">
        <v>59.0</v>
      </c>
      <c r="N8" s="33">
        <v>14.0</v>
      </c>
      <c r="O8" s="33">
        <v>0.0</v>
      </c>
      <c r="P8" s="33">
        <v>8.0</v>
      </c>
      <c r="Q8" s="33">
        <v>41.0</v>
      </c>
      <c r="R8" s="33">
        <v>26.0</v>
      </c>
      <c r="S8" s="33">
        <v>29.0</v>
      </c>
      <c r="T8" s="33">
        <v>0.0</v>
      </c>
      <c r="U8" s="33">
        <v>1.0</v>
      </c>
      <c r="V8" s="33">
        <v>0.468</v>
      </c>
      <c r="W8" s="33">
        <v>0.555</v>
      </c>
      <c r="X8" s="33">
        <v>0.77</v>
      </c>
      <c r="Y8" s="34">
        <f t="shared" si="7"/>
        <v>97</v>
      </c>
      <c r="Z8" s="35">
        <f t="shared" si="8"/>
        <v>0.573</v>
      </c>
      <c r="AA8" s="36">
        <f t="shared" si="9"/>
        <v>0.105</v>
      </c>
      <c r="AB8" s="36">
        <f t="shared" si="10"/>
        <v>37</v>
      </c>
      <c r="AC8" s="34">
        <f t="shared" si="11"/>
        <v>152</v>
      </c>
      <c r="AD8" s="37">
        <f t="shared" si="12"/>
        <v>0</v>
      </c>
      <c r="AE8" s="38" t="s">
        <v>41</v>
      </c>
      <c r="AF8" s="39"/>
      <c r="AG8" s="39"/>
      <c r="AH8" s="39"/>
      <c r="AI8" s="39"/>
      <c r="AJ8" s="39"/>
      <c r="AK8" s="39"/>
      <c r="AL8" s="39"/>
      <c r="AM8" s="39"/>
    </row>
    <row r="9">
      <c r="A9" s="24"/>
      <c r="B9" s="40" t="s">
        <v>44</v>
      </c>
      <c r="C9" s="41" t="s">
        <v>45</v>
      </c>
      <c r="D9" s="42">
        <f t="shared" si="1"/>
        <v>1.305</v>
      </c>
      <c r="E9" s="43">
        <f t="shared" si="2"/>
        <v>0.544</v>
      </c>
      <c r="F9" s="44">
        <f t="shared" si="3"/>
        <v>0.379</v>
      </c>
      <c r="G9" s="45">
        <f t="shared" si="4"/>
        <v>11</v>
      </c>
      <c r="H9" s="46">
        <f t="shared" si="5"/>
        <v>9</v>
      </c>
      <c r="I9" s="30">
        <f t="shared" si="6"/>
        <v>0.82</v>
      </c>
      <c r="J9" s="33">
        <v>55.0</v>
      </c>
      <c r="K9" s="33">
        <v>174.0</v>
      </c>
      <c r="L9" s="33">
        <v>54.0</v>
      </c>
      <c r="M9" s="33">
        <v>75.0</v>
      </c>
      <c r="N9" s="33">
        <v>21.0</v>
      </c>
      <c r="O9" s="33">
        <v>9.0</v>
      </c>
      <c r="P9" s="33">
        <v>9.0</v>
      </c>
      <c r="Q9" s="33">
        <v>48.0</v>
      </c>
      <c r="R9" s="33">
        <v>18.0</v>
      </c>
      <c r="S9" s="33">
        <v>22.0</v>
      </c>
      <c r="T9" s="33">
        <v>10.0</v>
      </c>
      <c r="U9" s="33">
        <v>2.0</v>
      </c>
      <c r="V9" s="33">
        <v>0.431</v>
      </c>
      <c r="W9" s="33">
        <v>0.495</v>
      </c>
      <c r="X9" s="33">
        <v>0.81</v>
      </c>
      <c r="Y9" s="34">
        <f t="shared" si="7"/>
        <v>141</v>
      </c>
      <c r="Z9" s="35">
        <f t="shared" si="8"/>
        <v>0.462</v>
      </c>
      <c r="AA9" s="36">
        <f t="shared" si="9"/>
        <v>0.031</v>
      </c>
      <c r="AB9" s="36">
        <f t="shared" si="10"/>
        <v>36</v>
      </c>
      <c r="AC9" s="34">
        <f t="shared" si="11"/>
        <v>192</v>
      </c>
      <c r="AD9" s="47">
        <f t="shared" si="12"/>
        <v>0.83</v>
      </c>
      <c r="AE9" s="38" t="s">
        <v>41</v>
      </c>
      <c r="AF9" s="48"/>
      <c r="AG9" s="48"/>
      <c r="AH9" s="48"/>
      <c r="AI9" s="48"/>
      <c r="AJ9" s="48"/>
      <c r="AK9" s="48"/>
      <c r="AL9" s="48"/>
      <c r="AM9" s="48"/>
    </row>
    <row r="10">
      <c r="A10" s="24"/>
      <c r="B10" s="40" t="s">
        <v>46</v>
      </c>
      <c r="C10" s="26" t="s">
        <v>47</v>
      </c>
      <c r="D10" s="49">
        <f t="shared" si="1"/>
        <v>1.291</v>
      </c>
      <c r="E10" s="50">
        <f t="shared" si="2"/>
        <v>0.53</v>
      </c>
      <c r="F10" s="49">
        <f t="shared" si="3"/>
        <v>0.37</v>
      </c>
      <c r="G10" s="51">
        <f t="shared" si="4"/>
        <v>23</v>
      </c>
      <c r="H10" s="52">
        <f t="shared" si="5"/>
        <v>21</v>
      </c>
      <c r="I10" s="53">
        <f t="shared" si="6"/>
        <v>0.91</v>
      </c>
      <c r="J10" s="33">
        <v>59.0</v>
      </c>
      <c r="K10" s="33">
        <v>162.0</v>
      </c>
      <c r="L10" s="33">
        <v>76.0</v>
      </c>
      <c r="M10" s="33">
        <v>62.0</v>
      </c>
      <c r="N10" s="33">
        <v>12.0</v>
      </c>
      <c r="O10" s="33">
        <v>0.0</v>
      </c>
      <c r="P10" s="33">
        <v>16.0</v>
      </c>
      <c r="Q10" s="33">
        <v>55.0</v>
      </c>
      <c r="R10" s="33">
        <v>43.0</v>
      </c>
      <c r="S10" s="33">
        <v>47.0</v>
      </c>
      <c r="T10" s="33">
        <v>7.0</v>
      </c>
      <c r="U10" s="33">
        <v>3.0</v>
      </c>
      <c r="V10" s="33">
        <v>0.383</v>
      </c>
      <c r="W10" s="33">
        <v>0.538</v>
      </c>
      <c r="X10" s="33">
        <v>0.753</v>
      </c>
      <c r="Y10" s="34">
        <f t="shared" si="7"/>
        <v>122</v>
      </c>
      <c r="Z10" s="35">
        <f t="shared" si="8"/>
        <v>0.465</v>
      </c>
      <c r="AA10" s="36">
        <f t="shared" si="9"/>
        <v>0.082</v>
      </c>
      <c r="AB10" s="36">
        <f t="shared" si="10"/>
        <v>34</v>
      </c>
      <c r="AC10" s="34">
        <f t="shared" si="11"/>
        <v>205</v>
      </c>
      <c r="AD10" s="54">
        <f t="shared" si="12"/>
        <v>0.7</v>
      </c>
      <c r="AE10" s="38" t="s">
        <v>41</v>
      </c>
      <c r="AF10" s="39"/>
      <c r="AG10" s="39"/>
      <c r="AH10" s="39"/>
      <c r="AI10" s="39"/>
      <c r="AJ10" s="39"/>
      <c r="AK10" s="39"/>
      <c r="AL10" s="39"/>
      <c r="AM10" s="39"/>
    </row>
    <row r="11">
      <c r="A11" s="24"/>
      <c r="B11" s="40" t="s">
        <v>48</v>
      </c>
      <c r="C11" s="26" t="s">
        <v>49</v>
      </c>
      <c r="D11" s="55">
        <f t="shared" si="1"/>
        <v>1.284</v>
      </c>
      <c r="E11" s="56">
        <f t="shared" si="2"/>
        <v>0.537</v>
      </c>
      <c r="F11" s="57">
        <f t="shared" si="3"/>
        <v>0.413</v>
      </c>
      <c r="G11" s="58">
        <f t="shared" si="4"/>
        <v>22</v>
      </c>
      <c r="H11" s="59">
        <f t="shared" si="5"/>
        <v>13</v>
      </c>
      <c r="I11" s="60">
        <f t="shared" si="6"/>
        <v>0.6</v>
      </c>
      <c r="J11" s="33">
        <v>61.0</v>
      </c>
      <c r="K11" s="33">
        <v>211.0</v>
      </c>
      <c r="L11" s="33">
        <v>69.0</v>
      </c>
      <c r="M11" s="33">
        <v>83.0</v>
      </c>
      <c r="N11" s="33">
        <v>21.0</v>
      </c>
      <c r="O11" s="33">
        <v>0.0</v>
      </c>
      <c r="P11" s="33">
        <v>22.0</v>
      </c>
      <c r="Q11" s="33">
        <v>63.0</v>
      </c>
      <c r="R11" s="33">
        <v>32.0</v>
      </c>
      <c r="S11" s="33">
        <v>53.0</v>
      </c>
      <c r="T11" s="33">
        <v>1.0</v>
      </c>
      <c r="U11" s="33">
        <v>0.0</v>
      </c>
      <c r="V11" s="33">
        <v>0.393</v>
      </c>
      <c r="W11" s="33">
        <v>0.478</v>
      </c>
      <c r="X11" s="33">
        <v>0.806</v>
      </c>
      <c r="Y11" s="34">
        <f t="shared" si="7"/>
        <v>170</v>
      </c>
      <c r="Z11" s="35">
        <f t="shared" si="8"/>
        <v>0.449</v>
      </c>
      <c r="AA11" s="36">
        <f t="shared" si="9"/>
        <v>0.056</v>
      </c>
      <c r="AB11" s="36">
        <f t="shared" si="10"/>
        <v>40</v>
      </c>
      <c r="AC11" s="34">
        <f t="shared" si="11"/>
        <v>243</v>
      </c>
      <c r="AD11" s="61">
        <f t="shared" si="12"/>
        <v>1</v>
      </c>
      <c r="AE11" s="38" t="s">
        <v>41</v>
      </c>
      <c r="AF11" s="48"/>
      <c r="AG11" s="48"/>
      <c r="AH11" s="48"/>
      <c r="AI11" s="48"/>
      <c r="AJ11" s="48"/>
      <c r="AK11" s="48"/>
      <c r="AL11" s="48"/>
      <c r="AM11" s="48"/>
    </row>
    <row r="12">
      <c r="A12" s="24"/>
      <c r="B12" s="25" t="s">
        <v>50</v>
      </c>
      <c r="C12" s="26" t="s">
        <v>43</v>
      </c>
      <c r="D12" s="62">
        <f t="shared" si="1"/>
        <v>1.246</v>
      </c>
      <c r="E12" s="63">
        <f t="shared" si="2"/>
        <v>0.508</v>
      </c>
      <c r="F12" s="64">
        <f t="shared" si="3"/>
        <v>0.438</v>
      </c>
      <c r="G12" s="65">
        <f t="shared" si="4"/>
        <v>14</v>
      </c>
      <c r="H12" s="66">
        <f t="shared" si="5"/>
        <v>14</v>
      </c>
      <c r="I12" s="67">
        <f t="shared" si="6"/>
        <v>0.96</v>
      </c>
      <c r="J12" s="33">
        <v>45.0</v>
      </c>
      <c r="K12" s="33">
        <v>137.0</v>
      </c>
      <c r="L12" s="33">
        <v>40.0</v>
      </c>
      <c r="M12" s="33">
        <v>47.0</v>
      </c>
      <c r="N12" s="33">
        <v>18.0</v>
      </c>
      <c r="O12" s="33">
        <v>0.0</v>
      </c>
      <c r="P12" s="33">
        <v>14.0</v>
      </c>
      <c r="Q12" s="33">
        <v>49.0</v>
      </c>
      <c r="R12" s="33">
        <v>22.0</v>
      </c>
      <c r="S12" s="33">
        <v>23.0</v>
      </c>
      <c r="T12" s="33">
        <v>3.0</v>
      </c>
      <c r="U12" s="33">
        <v>2.0</v>
      </c>
      <c r="V12" s="33">
        <v>0.343</v>
      </c>
      <c r="W12" s="33">
        <v>0.465</v>
      </c>
      <c r="X12" s="33">
        <v>0.781</v>
      </c>
      <c r="Y12" s="34">
        <f t="shared" si="7"/>
        <v>107</v>
      </c>
      <c r="Z12" s="35">
        <f t="shared" si="8"/>
        <v>0.33</v>
      </c>
      <c r="AA12" s="36">
        <f t="shared" si="9"/>
        <v>-0.013</v>
      </c>
      <c r="AB12" s="36">
        <f t="shared" si="10"/>
        <v>15</v>
      </c>
      <c r="AC12" s="34">
        <f t="shared" si="11"/>
        <v>159</v>
      </c>
      <c r="AD12" s="68">
        <f t="shared" si="12"/>
        <v>0.6</v>
      </c>
      <c r="AE12" s="38" t="s">
        <v>41</v>
      </c>
      <c r="AF12" s="48"/>
      <c r="AG12" s="48"/>
      <c r="AH12" s="48"/>
      <c r="AI12" s="48"/>
      <c r="AJ12" s="48"/>
      <c r="AK12" s="48"/>
      <c r="AL12" s="48"/>
      <c r="AM12" s="48"/>
    </row>
    <row r="13">
      <c r="A13" s="24"/>
      <c r="B13" s="40" t="s">
        <v>51</v>
      </c>
      <c r="C13" s="26" t="s">
        <v>52</v>
      </c>
      <c r="D13" s="69">
        <f t="shared" si="1"/>
        <v>1.267</v>
      </c>
      <c r="E13" s="70">
        <f t="shared" si="2"/>
        <v>0.539</v>
      </c>
      <c r="F13" s="71">
        <f t="shared" si="3"/>
        <v>0.36</v>
      </c>
      <c r="G13" s="72">
        <f t="shared" si="4"/>
        <v>16</v>
      </c>
      <c r="H13" s="73">
        <f t="shared" si="5"/>
        <v>7</v>
      </c>
      <c r="I13" s="74">
        <f t="shared" si="6"/>
        <v>0.45</v>
      </c>
      <c r="J13" s="33">
        <v>53.0</v>
      </c>
      <c r="K13" s="33">
        <v>183.0</v>
      </c>
      <c r="L13" s="33">
        <v>57.0</v>
      </c>
      <c r="M13" s="33">
        <v>79.0</v>
      </c>
      <c r="N13" s="33">
        <v>18.0</v>
      </c>
      <c r="O13" s="33">
        <v>0.0</v>
      </c>
      <c r="P13" s="33">
        <v>16.0</v>
      </c>
      <c r="Q13" s="33">
        <v>63.0</v>
      </c>
      <c r="R13" s="33">
        <v>14.0</v>
      </c>
      <c r="S13" s="33">
        <v>31.0</v>
      </c>
      <c r="T13" s="33">
        <v>1.0</v>
      </c>
      <c r="U13" s="33">
        <v>0.0</v>
      </c>
      <c r="V13" s="33">
        <v>0.432</v>
      </c>
      <c r="W13" s="33">
        <v>0.475</v>
      </c>
      <c r="X13" s="33">
        <v>0.792</v>
      </c>
      <c r="Y13" s="34">
        <f t="shared" si="7"/>
        <v>145</v>
      </c>
      <c r="Z13" s="35">
        <f t="shared" si="8"/>
        <v>0.463</v>
      </c>
      <c r="AA13" s="36">
        <f t="shared" si="9"/>
        <v>0.031</v>
      </c>
      <c r="AB13" s="36">
        <f t="shared" si="10"/>
        <v>45</v>
      </c>
      <c r="AC13" s="34">
        <f t="shared" si="11"/>
        <v>197</v>
      </c>
      <c r="AD13" s="61">
        <f t="shared" si="12"/>
        <v>1</v>
      </c>
      <c r="AE13" s="38" t="s">
        <v>41</v>
      </c>
      <c r="AF13" s="48"/>
      <c r="AG13" s="48"/>
      <c r="AH13" s="48"/>
      <c r="AI13" s="48"/>
      <c r="AJ13" s="48"/>
      <c r="AK13" s="48"/>
      <c r="AL13" s="48"/>
      <c r="AM13" s="48"/>
    </row>
    <row r="14">
      <c r="A14" s="24"/>
      <c r="B14" s="25" t="s">
        <v>53</v>
      </c>
      <c r="C14" s="26" t="s">
        <v>54</v>
      </c>
      <c r="D14" s="75">
        <f t="shared" si="1"/>
        <v>1.232</v>
      </c>
      <c r="E14" s="76">
        <f t="shared" si="2"/>
        <v>0.521</v>
      </c>
      <c r="F14" s="77">
        <f t="shared" si="3"/>
        <v>0.338</v>
      </c>
      <c r="G14" s="78">
        <f t="shared" si="4"/>
        <v>12</v>
      </c>
      <c r="H14" s="79">
        <f t="shared" si="5"/>
        <v>10</v>
      </c>
      <c r="I14" s="80">
        <f t="shared" si="6"/>
        <v>0.86</v>
      </c>
      <c r="J14" s="33">
        <v>44.0</v>
      </c>
      <c r="K14" s="33">
        <v>157.0</v>
      </c>
      <c r="L14" s="33">
        <v>42.0</v>
      </c>
      <c r="M14" s="33">
        <v>65.0</v>
      </c>
      <c r="N14" s="33">
        <v>8.0</v>
      </c>
      <c r="O14" s="33">
        <v>3.0</v>
      </c>
      <c r="P14" s="33">
        <v>13.0</v>
      </c>
      <c r="Q14" s="33">
        <v>62.0</v>
      </c>
      <c r="R14" s="33">
        <v>18.0</v>
      </c>
      <c r="S14" s="33">
        <v>21.0</v>
      </c>
      <c r="T14" s="33">
        <v>14.0</v>
      </c>
      <c r="U14" s="33">
        <v>1.0</v>
      </c>
      <c r="V14" s="33">
        <v>0.414</v>
      </c>
      <c r="W14" s="33">
        <v>0.48</v>
      </c>
      <c r="X14" s="33">
        <v>0.752</v>
      </c>
      <c r="Y14" s="34">
        <f t="shared" si="7"/>
        <v>118</v>
      </c>
      <c r="Z14" s="35">
        <f t="shared" si="8"/>
        <v>0.423</v>
      </c>
      <c r="AA14" s="36">
        <f t="shared" si="9"/>
        <v>0.009</v>
      </c>
      <c r="AB14" s="36">
        <f t="shared" si="10"/>
        <v>41</v>
      </c>
      <c r="AC14" s="34">
        <f t="shared" si="11"/>
        <v>175</v>
      </c>
      <c r="AD14" s="81">
        <f t="shared" si="12"/>
        <v>0.93</v>
      </c>
      <c r="AE14" s="38" t="s">
        <v>41</v>
      </c>
      <c r="AF14" s="48"/>
      <c r="AG14" s="48"/>
      <c r="AH14" s="48"/>
      <c r="AI14" s="48"/>
      <c r="AJ14" s="48"/>
      <c r="AK14" s="48"/>
      <c r="AL14" s="48"/>
      <c r="AM14" s="48"/>
    </row>
    <row r="15">
      <c r="A15" s="24"/>
      <c r="B15" s="40" t="s">
        <v>55</v>
      </c>
      <c r="C15" s="26" t="s">
        <v>56</v>
      </c>
      <c r="D15" s="82">
        <f t="shared" si="1"/>
        <v>1.216</v>
      </c>
      <c r="E15" s="83">
        <f t="shared" si="2"/>
        <v>0.512</v>
      </c>
      <c r="F15" s="84">
        <f t="shared" si="3"/>
        <v>0.307</v>
      </c>
      <c r="G15" s="85">
        <f t="shared" si="4"/>
        <v>13</v>
      </c>
      <c r="H15" s="86">
        <f t="shared" si="5"/>
        <v>11</v>
      </c>
      <c r="I15" s="87">
        <f t="shared" si="6"/>
        <v>0.88</v>
      </c>
      <c r="J15" s="33">
        <v>53.0</v>
      </c>
      <c r="K15" s="33">
        <v>173.0</v>
      </c>
      <c r="L15" s="33">
        <v>54.0</v>
      </c>
      <c r="M15" s="33">
        <v>72.0</v>
      </c>
      <c r="N15" s="33">
        <v>16.0</v>
      </c>
      <c r="O15" s="33">
        <v>5.0</v>
      </c>
      <c r="P15" s="33">
        <v>9.0</v>
      </c>
      <c r="Q15" s="33">
        <v>63.0</v>
      </c>
      <c r="R15" s="33">
        <v>22.0</v>
      </c>
      <c r="S15" s="33">
        <v>25.0</v>
      </c>
      <c r="T15" s="33">
        <v>13.0</v>
      </c>
      <c r="U15" s="33">
        <v>4.0</v>
      </c>
      <c r="V15" s="33">
        <v>0.416</v>
      </c>
      <c r="W15" s="33">
        <v>0.493</v>
      </c>
      <c r="X15" s="33">
        <v>0.723</v>
      </c>
      <c r="Y15" s="34">
        <f t="shared" si="7"/>
        <v>125</v>
      </c>
      <c r="Z15" s="35">
        <f t="shared" si="8"/>
        <v>0.453</v>
      </c>
      <c r="AA15" s="36">
        <f t="shared" si="9"/>
        <v>0.037</v>
      </c>
      <c r="AB15" s="36">
        <f t="shared" si="10"/>
        <v>42</v>
      </c>
      <c r="AC15" s="34">
        <f t="shared" si="11"/>
        <v>195</v>
      </c>
      <c r="AD15" s="88">
        <f t="shared" si="12"/>
        <v>0.76</v>
      </c>
      <c r="AE15" s="38" t="s">
        <v>41</v>
      </c>
      <c r="AF15" s="48"/>
      <c r="AG15" s="48"/>
      <c r="AH15" s="48"/>
      <c r="AI15" s="48"/>
      <c r="AJ15" s="48"/>
      <c r="AK15" s="48"/>
      <c r="AL15" s="48"/>
      <c r="AM15" s="48"/>
    </row>
    <row r="16">
      <c r="A16" s="24"/>
      <c r="B16" s="25" t="s">
        <v>57</v>
      </c>
      <c r="C16" s="41" t="s">
        <v>45</v>
      </c>
      <c r="D16" s="89">
        <f t="shared" si="1"/>
        <v>1.198</v>
      </c>
      <c r="E16" s="90">
        <f t="shared" si="2"/>
        <v>0.502</v>
      </c>
      <c r="F16" s="91">
        <f t="shared" si="3"/>
        <v>0.32</v>
      </c>
      <c r="G16" s="92">
        <f t="shared" si="4"/>
        <v>30</v>
      </c>
      <c r="H16" s="59">
        <f t="shared" si="5"/>
        <v>13</v>
      </c>
      <c r="I16" s="93">
        <f t="shared" si="6"/>
        <v>0.44</v>
      </c>
      <c r="J16" s="33">
        <v>53.0</v>
      </c>
      <c r="K16" s="33">
        <v>125.0</v>
      </c>
      <c r="L16" s="33">
        <v>42.0</v>
      </c>
      <c r="M16" s="33">
        <v>49.0</v>
      </c>
      <c r="N16" s="33">
        <v>10.0</v>
      </c>
      <c r="O16" s="33">
        <v>3.0</v>
      </c>
      <c r="P16" s="33">
        <v>8.0</v>
      </c>
      <c r="Q16" s="33">
        <v>36.0</v>
      </c>
      <c r="R16" s="33">
        <v>19.0</v>
      </c>
      <c r="S16" s="33">
        <v>43.0</v>
      </c>
      <c r="T16" s="33">
        <v>9.0</v>
      </c>
      <c r="U16" s="33">
        <v>0.0</v>
      </c>
      <c r="V16" s="33">
        <v>0.392</v>
      </c>
      <c r="W16" s="33">
        <v>0.486</v>
      </c>
      <c r="X16" s="33">
        <v>0.712</v>
      </c>
      <c r="Y16" s="34">
        <f t="shared" si="7"/>
        <v>89</v>
      </c>
      <c r="Z16" s="35">
        <f t="shared" si="8"/>
        <v>0.554</v>
      </c>
      <c r="AA16" s="36">
        <f t="shared" si="9"/>
        <v>0.162</v>
      </c>
      <c r="AB16" s="36">
        <f t="shared" si="10"/>
        <v>28</v>
      </c>
      <c r="AC16" s="34">
        <f t="shared" si="11"/>
        <v>144</v>
      </c>
      <c r="AD16" s="61">
        <f t="shared" si="12"/>
        <v>1</v>
      </c>
      <c r="AE16" s="38" t="s">
        <v>41</v>
      </c>
      <c r="AF16" s="48"/>
      <c r="AG16" s="48"/>
      <c r="AH16" s="48"/>
      <c r="AI16" s="48"/>
      <c r="AJ16" s="48"/>
      <c r="AK16" s="48"/>
      <c r="AL16" s="48"/>
      <c r="AM16" s="48"/>
    </row>
    <row r="17">
      <c r="A17" s="24"/>
      <c r="B17" s="40" t="s">
        <v>58</v>
      </c>
      <c r="C17" s="26" t="s">
        <v>59</v>
      </c>
      <c r="D17" s="94">
        <f t="shared" si="1"/>
        <v>1.167</v>
      </c>
      <c r="E17" s="95">
        <f t="shared" si="2"/>
        <v>0.498</v>
      </c>
      <c r="F17" s="96">
        <f t="shared" si="3"/>
        <v>0.271</v>
      </c>
      <c r="G17" s="85">
        <f t="shared" si="4"/>
        <v>13</v>
      </c>
      <c r="H17" s="97">
        <f t="shared" si="5"/>
        <v>12</v>
      </c>
      <c r="I17" s="98">
        <f t="shared" si="6"/>
        <v>0.94</v>
      </c>
      <c r="J17" s="33">
        <v>63.0</v>
      </c>
      <c r="K17" s="33">
        <v>214.0</v>
      </c>
      <c r="L17" s="33">
        <v>59.0</v>
      </c>
      <c r="M17" s="33">
        <v>88.0</v>
      </c>
      <c r="N17" s="33">
        <v>20.0</v>
      </c>
      <c r="O17" s="33">
        <v>1.0</v>
      </c>
      <c r="P17" s="33">
        <v>12.0</v>
      </c>
      <c r="Q17" s="33">
        <v>73.0</v>
      </c>
      <c r="R17" s="33">
        <v>29.0</v>
      </c>
      <c r="S17" s="33">
        <v>31.0</v>
      </c>
      <c r="T17" s="33">
        <v>3.0</v>
      </c>
      <c r="U17" s="33">
        <v>0.0</v>
      </c>
      <c r="V17" s="33">
        <v>0.411</v>
      </c>
      <c r="W17" s="33">
        <v>0.485</v>
      </c>
      <c r="X17" s="33">
        <v>0.682</v>
      </c>
      <c r="Y17" s="34">
        <f t="shared" si="7"/>
        <v>146</v>
      </c>
      <c r="Z17" s="35">
        <f t="shared" si="8"/>
        <v>0.444</v>
      </c>
      <c r="AA17" s="36">
        <f t="shared" si="9"/>
        <v>0.033</v>
      </c>
      <c r="AB17" s="36">
        <f t="shared" si="10"/>
        <v>55</v>
      </c>
      <c r="AC17" s="34">
        <f t="shared" si="11"/>
        <v>243</v>
      </c>
      <c r="AD17" s="61">
        <f t="shared" si="12"/>
        <v>1</v>
      </c>
      <c r="AE17" s="38" t="s">
        <v>41</v>
      </c>
      <c r="AF17" s="48"/>
      <c r="AG17" s="48"/>
      <c r="AH17" s="48"/>
      <c r="AI17" s="48"/>
      <c r="AJ17" s="48"/>
      <c r="AK17" s="48"/>
      <c r="AL17" s="48"/>
      <c r="AM17" s="48"/>
    </row>
    <row r="18">
      <c r="A18" s="24"/>
      <c r="B18" s="40" t="s">
        <v>60</v>
      </c>
      <c r="C18" s="26" t="s">
        <v>52</v>
      </c>
      <c r="D18" s="99">
        <f t="shared" si="1"/>
        <v>1.193</v>
      </c>
      <c r="E18" s="100">
        <f t="shared" si="2"/>
        <v>0.501</v>
      </c>
      <c r="F18" s="55">
        <f t="shared" si="3"/>
        <v>0.366</v>
      </c>
      <c r="G18" s="101">
        <f t="shared" si="4"/>
        <v>25</v>
      </c>
      <c r="H18" s="79">
        <f t="shared" si="5"/>
        <v>10</v>
      </c>
      <c r="I18" s="102">
        <f t="shared" si="6"/>
        <v>0.38</v>
      </c>
      <c r="J18" s="33">
        <v>52.0</v>
      </c>
      <c r="K18" s="33">
        <v>178.0</v>
      </c>
      <c r="L18" s="33">
        <v>57.0</v>
      </c>
      <c r="M18" s="33">
        <v>67.0</v>
      </c>
      <c r="N18" s="33">
        <v>11.0</v>
      </c>
      <c r="O18" s="33">
        <v>0.0</v>
      </c>
      <c r="P18" s="33">
        <v>18.0</v>
      </c>
      <c r="Q18" s="33">
        <v>55.0</v>
      </c>
      <c r="R18" s="33">
        <v>19.0</v>
      </c>
      <c r="S18" s="33">
        <v>50.0</v>
      </c>
      <c r="T18" s="33">
        <v>0.0</v>
      </c>
      <c r="U18" s="33">
        <v>0.0</v>
      </c>
      <c r="V18" s="33">
        <v>0.376</v>
      </c>
      <c r="W18" s="33">
        <v>0.451</v>
      </c>
      <c r="X18" s="33">
        <v>0.742</v>
      </c>
      <c r="Y18" s="34">
        <f t="shared" si="7"/>
        <v>132</v>
      </c>
      <c r="Z18" s="35">
        <f t="shared" si="8"/>
        <v>0.445</v>
      </c>
      <c r="AA18" s="36">
        <f t="shared" si="9"/>
        <v>0.069</v>
      </c>
      <c r="AB18" s="36">
        <f t="shared" si="10"/>
        <v>38</v>
      </c>
      <c r="AC18" s="34">
        <f t="shared" si="11"/>
        <v>197</v>
      </c>
      <c r="AD18" s="103" t="s">
        <v>61</v>
      </c>
      <c r="AE18" s="38" t="s">
        <v>41</v>
      </c>
      <c r="AF18" s="48"/>
      <c r="AG18" s="48"/>
      <c r="AH18" s="48"/>
      <c r="AI18" s="48"/>
      <c r="AJ18" s="48"/>
      <c r="AK18" s="48"/>
      <c r="AL18" s="48"/>
      <c r="AM18" s="48"/>
    </row>
    <row r="19">
      <c r="A19" s="24"/>
      <c r="B19" s="40" t="s">
        <v>62</v>
      </c>
      <c r="C19" s="26" t="s">
        <v>63</v>
      </c>
      <c r="D19" s="104">
        <f t="shared" si="1"/>
        <v>1.159</v>
      </c>
      <c r="E19" s="105">
        <f t="shared" si="2"/>
        <v>0.494</v>
      </c>
      <c r="F19" s="106">
        <f t="shared" si="3"/>
        <v>0.252</v>
      </c>
      <c r="G19" s="107">
        <f t="shared" si="4"/>
        <v>17</v>
      </c>
      <c r="H19" s="66">
        <f t="shared" si="5"/>
        <v>14</v>
      </c>
      <c r="I19" s="80">
        <f t="shared" si="6"/>
        <v>0.86</v>
      </c>
      <c r="J19" s="33">
        <v>54.0</v>
      </c>
      <c r="K19" s="33">
        <v>186.0</v>
      </c>
      <c r="L19" s="33">
        <v>56.0</v>
      </c>
      <c r="M19" s="33">
        <v>76.0</v>
      </c>
      <c r="N19" s="33">
        <v>21.0</v>
      </c>
      <c r="O19" s="33">
        <v>4.0</v>
      </c>
      <c r="P19" s="33">
        <v>6.0</v>
      </c>
      <c r="Q19" s="33">
        <v>47.0</v>
      </c>
      <c r="R19" s="33">
        <v>31.0</v>
      </c>
      <c r="S19" s="33">
        <v>36.0</v>
      </c>
      <c r="T19" s="33">
        <v>3.0</v>
      </c>
      <c r="U19" s="33">
        <v>1.0</v>
      </c>
      <c r="V19" s="33">
        <v>0.409</v>
      </c>
      <c r="W19" s="33">
        <v>0.498</v>
      </c>
      <c r="X19" s="33">
        <v>0.661</v>
      </c>
      <c r="Y19" s="34">
        <f t="shared" si="7"/>
        <v>123</v>
      </c>
      <c r="Z19" s="35">
        <f t="shared" si="8"/>
        <v>0.486</v>
      </c>
      <c r="AA19" s="36">
        <f t="shared" si="9"/>
        <v>0.077</v>
      </c>
      <c r="AB19" s="36">
        <f t="shared" si="10"/>
        <v>45</v>
      </c>
      <c r="AC19" s="34">
        <f t="shared" si="11"/>
        <v>217</v>
      </c>
      <c r="AD19" s="108">
        <f t="shared" ref="AD19:AD23" si="13">ROUND((T:T)/(T:T + U:U), 2)</f>
        <v>0.75</v>
      </c>
      <c r="AE19" s="38" t="s">
        <v>41</v>
      </c>
      <c r="AF19" s="48"/>
      <c r="AG19" s="48"/>
      <c r="AH19" s="48"/>
      <c r="AI19" s="48"/>
      <c r="AJ19" s="48"/>
      <c r="AK19" s="48"/>
      <c r="AL19" s="48"/>
      <c r="AM19" s="48"/>
    </row>
    <row r="20">
      <c r="A20" s="24"/>
      <c r="B20" s="25" t="s">
        <v>64</v>
      </c>
      <c r="C20" s="26" t="s">
        <v>47</v>
      </c>
      <c r="D20" s="109">
        <f t="shared" si="1"/>
        <v>1.199</v>
      </c>
      <c r="E20" s="110">
        <f t="shared" si="2"/>
        <v>0.486</v>
      </c>
      <c r="F20" s="111">
        <f t="shared" si="3"/>
        <v>0.367</v>
      </c>
      <c r="G20" s="72">
        <f t="shared" si="4"/>
        <v>16</v>
      </c>
      <c r="H20" s="31">
        <f t="shared" si="5"/>
        <v>17</v>
      </c>
      <c r="I20" s="112">
        <f t="shared" si="6"/>
        <v>1.03</v>
      </c>
      <c r="J20" s="33">
        <v>54.0</v>
      </c>
      <c r="K20" s="33">
        <v>150.0</v>
      </c>
      <c r="L20" s="33">
        <v>49.0</v>
      </c>
      <c r="M20" s="33">
        <v>51.0</v>
      </c>
      <c r="N20" s="33">
        <v>10.0</v>
      </c>
      <c r="O20" s="33">
        <v>6.0</v>
      </c>
      <c r="P20" s="33">
        <v>11.0</v>
      </c>
      <c r="Q20" s="33">
        <v>52.0</v>
      </c>
      <c r="R20" s="33">
        <v>30.0</v>
      </c>
      <c r="S20" s="33">
        <v>29.0</v>
      </c>
      <c r="T20" s="33">
        <v>6.0</v>
      </c>
      <c r="U20" s="33">
        <v>1.0</v>
      </c>
      <c r="V20" s="33">
        <v>0.34</v>
      </c>
      <c r="W20" s="33">
        <v>0.492</v>
      </c>
      <c r="X20" s="33">
        <v>0.707</v>
      </c>
      <c r="Y20" s="34">
        <f t="shared" si="7"/>
        <v>106</v>
      </c>
      <c r="Z20" s="35">
        <f t="shared" si="8"/>
        <v>0.364</v>
      </c>
      <c r="AA20" s="36">
        <f t="shared" si="9"/>
        <v>0.024</v>
      </c>
      <c r="AB20" s="36">
        <f t="shared" si="10"/>
        <v>24</v>
      </c>
      <c r="AC20" s="34">
        <f t="shared" si="11"/>
        <v>180</v>
      </c>
      <c r="AD20" s="113">
        <f t="shared" si="13"/>
        <v>0.86</v>
      </c>
      <c r="AE20" s="38" t="s">
        <v>41</v>
      </c>
      <c r="AF20" s="48"/>
      <c r="AG20" s="48"/>
      <c r="AH20" s="48"/>
      <c r="AI20" s="48"/>
      <c r="AJ20" s="48"/>
      <c r="AK20" s="48"/>
      <c r="AL20" s="48"/>
      <c r="AM20" s="48"/>
    </row>
    <row r="21">
      <c r="A21" s="24"/>
      <c r="B21" s="25" t="s">
        <v>65</v>
      </c>
      <c r="C21" s="26" t="s">
        <v>66</v>
      </c>
      <c r="D21" s="114">
        <f t="shared" si="1"/>
        <v>1.142</v>
      </c>
      <c r="E21" s="115">
        <f t="shared" si="2"/>
        <v>0.483</v>
      </c>
      <c r="F21" s="84">
        <f t="shared" si="3"/>
        <v>0.308</v>
      </c>
      <c r="G21" s="78">
        <f t="shared" si="4"/>
        <v>12</v>
      </c>
      <c r="H21" s="116">
        <f t="shared" si="5"/>
        <v>15</v>
      </c>
      <c r="I21" s="117">
        <f t="shared" si="6"/>
        <v>1.27</v>
      </c>
      <c r="J21" s="33">
        <v>52.0</v>
      </c>
      <c r="K21" s="33">
        <v>159.0</v>
      </c>
      <c r="L21" s="33">
        <v>44.0</v>
      </c>
      <c r="M21" s="33">
        <v>58.0</v>
      </c>
      <c r="N21" s="33">
        <v>13.0</v>
      </c>
      <c r="O21" s="33">
        <v>0.0</v>
      </c>
      <c r="P21" s="33">
        <v>12.0</v>
      </c>
      <c r="Q21" s="33">
        <v>52.0</v>
      </c>
      <c r="R21" s="33">
        <v>28.0</v>
      </c>
      <c r="S21" s="33">
        <v>22.0</v>
      </c>
      <c r="T21" s="33">
        <v>2.0</v>
      </c>
      <c r="U21" s="33">
        <v>0.0</v>
      </c>
      <c r="V21" s="33">
        <v>0.365</v>
      </c>
      <c r="W21" s="33">
        <v>0.469</v>
      </c>
      <c r="X21" s="33">
        <v>0.673</v>
      </c>
      <c r="Y21" s="34">
        <f t="shared" si="7"/>
        <v>107</v>
      </c>
      <c r="Z21" s="35">
        <f t="shared" si="8"/>
        <v>0.368</v>
      </c>
      <c r="AA21" s="36">
        <f t="shared" si="9"/>
        <v>0.003</v>
      </c>
      <c r="AB21" s="36">
        <f t="shared" si="10"/>
        <v>33</v>
      </c>
      <c r="AC21" s="34">
        <f t="shared" si="11"/>
        <v>187</v>
      </c>
      <c r="AD21" s="61">
        <f t="shared" si="13"/>
        <v>1</v>
      </c>
      <c r="AE21" s="38" t="s">
        <v>41</v>
      </c>
      <c r="AF21" s="48"/>
      <c r="AG21" s="48"/>
      <c r="AH21" s="48"/>
      <c r="AI21" s="48"/>
      <c r="AJ21" s="48"/>
      <c r="AK21" s="48"/>
      <c r="AL21" s="48"/>
      <c r="AM21" s="48"/>
    </row>
    <row r="22">
      <c r="A22" s="24"/>
      <c r="B22" s="25" t="s">
        <v>67</v>
      </c>
      <c r="C22" s="26" t="s">
        <v>68</v>
      </c>
      <c r="D22" s="29">
        <f t="shared" si="1"/>
        <v>1.18</v>
      </c>
      <c r="E22" s="118">
        <f t="shared" si="2"/>
        <v>0.493</v>
      </c>
      <c r="F22" s="119">
        <f t="shared" si="3"/>
        <v>0.362</v>
      </c>
      <c r="G22" s="85">
        <f t="shared" si="4"/>
        <v>13</v>
      </c>
      <c r="H22" s="120">
        <f t="shared" si="5"/>
        <v>8</v>
      </c>
      <c r="I22" s="60">
        <f t="shared" si="6"/>
        <v>0.6</v>
      </c>
      <c r="J22" s="33">
        <v>42.0</v>
      </c>
      <c r="K22" s="33">
        <v>174.0</v>
      </c>
      <c r="L22" s="33">
        <v>59.0</v>
      </c>
      <c r="M22" s="33">
        <v>65.0</v>
      </c>
      <c r="N22" s="33">
        <v>10.0</v>
      </c>
      <c r="O22" s="33">
        <v>1.0</v>
      </c>
      <c r="P22" s="33">
        <v>17.0</v>
      </c>
      <c r="Q22" s="33">
        <v>46.0</v>
      </c>
      <c r="R22" s="33">
        <v>15.0</v>
      </c>
      <c r="S22" s="33">
        <v>25.0</v>
      </c>
      <c r="T22" s="33">
        <v>9.0</v>
      </c>
      <c r="U22" s="33">
        <v>0.0</v>
      </c>
      <c r="V22" s="33">
        <v>0.374</v>
      </c>
      <c r="W22" s="33">
        <v>0.444</v>
      </c>
      <c r="X22" s="33">
        <v>0.736</v>
      </c>
      <c r="Y22" s="34">
        <f t="shared" si="7"/>
        <v>128</v>
      </c>
      <c r="Z22" s="35">
        <f t="shared" si="8"/>
        <v>0.364</v>
      </c>
      <c r="AA22" s="36">
        <f t="shared" si="9"/>
        <v>-0.01</v>
      </c>
      <c r="AB22" s="36">
        <f t="shared" si="10"/>
        <v>37</v>
      </c>
      <c r="AC22" s="34">
        <f t="shared" si="11"/>
        <v>189</v>
      </c>
      <c r="AD22" s="61">
        <f t="shared" si="13"/>
        <v>1</v>
      </c>
      <c r="AE22" s="38" t="s">
        <v>41</v>
      </c>
      <c r="AF22" s="48"/>
      <c r="AG22" s="48"/>
      <c r="AH22" s="48"/>
      <c r="AI22" s="48"/>
      <c r="AJ22" s="48"/>
      <c r="AK22" s="48"/>
      <c r="AL22" s="48"/>
      <c r="AM22" s="48"/>
    </row>
    <row r="23">
      <c r="A23" s="24"/>
      <c r="B23" s="25" t="s">
        <v>69</v>
      </c>
      <c r="C23" s="41" t="s">
        <v>45</v>
      </c>
      <c r="D23" s="121">
        <f t="shared" si="1"/>
        <v>1.172</v>
      </c>
      <c r="E23" s="122">
        <f t="shared" si="2"/>
        <v>0.482</v>
      </c>
      <c r="F23" s="123">
        <f t="shared" si="3"/>
        <v>0.344</v>
      </c>
      <c r="G23" s="124">
        <f t="shared" si="4"/>
        <v>24</v>
      </c>
      <c r="H23" s="125">
        <f t="shared" si="5"/>
        <v>18</v>
      </c>
      <c r="I23" s="126">
        <f t="shared" si="6"/>
        <v>0.75</v>
      </c>
      <c r="J23" s="33">
        <v>54.0</v>
      </c>
      <c r="K23" s="33">
        <v>151.0</v>
      </c>
      <c r="L23" s="33">
        <v>54.0</v>
      </c>
      <c r="M23" s="33">
        <v>51.0</v>
      </c>
      <c r="N23" s="33">
        <v>17.0</v>
      </c>
      <c r="O23" s="33">
        <v>1.0</v>
      </c>
      <c r="P23" s="33">
        <v>11.0</v>
      </c>
      <c r="Q23" s="33">
        <v>38.0</v>
      </c>
      <c r="R23" s="33">
        <v>33.0</v>
      </c>
      <c r="S23" s="33">
        <v>44.0</v>
      </c>
      <c r="T23" s="33">
        <v>13.0</v>
      </c>
      <c r="U23" s="33">
        <v>5.0</v>
      </c>
      <c r="V23" s="33">
        <v>0.338</v>
      </c>
      <c r="W23" s="33">
        <v>0.49</v>
      </c>
      <c r="X23" s="33">
        <v>0.682</v>
      </c>
      <c r="Y23" s="34">
        <f t="shared" si="7"/>
        <v>103</v>
      </c>
      <c r="Z23" s="35">
        <f t="shared" si="8"/>
        <v>0.417</v>
      </c>
      <c r="AA23" s="36">
        <f t="shared" si="9"/>
        <v>0.079</v>
      </c>
      <c r="AB23" s="36">
        <f t="shared" si="10"/>
        <v>22</v>
      </c>
      <c r="AC23" s="34">
        <f t="shared" si="11"/>
        <v>184</v>
      </c>
      <c r="AD23" s="127">
        <f t="shared" si="13"/>
        <v>0.72</v>
      </c>
      <c r="AE23" s="38" t="s">
        <v>41</v>
      </c>
      <c r="AF23" s="48"/>
      <c r="AG23" s="48"/>
      <c r="AH23" s="48"/>
      <c r="AI23" s="48"/>
      <c r="AJ23" s="48"/>
      <c r="AK23" s="48"/>
      <c r="AL23" s="48"/>
      <c r="AM23" s="48"/>
    </row>
    <row r="24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>
      <c r="A25" s="1"/>
      <c r="B25" s="128" t="s">
        <v>70</v>
      </c>
      <c r="C25" s="129"/>
      <c r="D25" s="1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>
      <c r="A26" s="1"/>
      <c r="B26" s="131" t="s">
        <v>71</v>
      </c>
      <c r="C26" s="129"/>
      <c r="D26" s="13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B27" s="128" t="s">
        <v>72</v>
      </c>
      <c r="C27" s="132"/>
    </row>
    <row r="28">
      <c r="B28" s="131" t="s">
        <v>73</v>
      </c>
      <c r="C28" s="132"/>
    </row>
    <row r="29">
      <c r="B29" s="128" t="s">
        <v>74</v>
      </c>
      <c r="C29" s="132"/>
    </row>
    <row r="30">
      <c r="C30" s="132"/>
    </row>
    <row r="31">
      <c r="B31" s="131" t="s">
        <v>75</v>
      </c>
      <c r="C31" s="132"/>
    </row>
    <row r="32">
      <c r="B32" s="132"/>
      <c r="C32" s="132"/>
    </row>
    <row r="33">
      <c r="B33" s="128" t="s">
        <v>76</v>
      </c>
      <c r="C33" s="132"/>
    </row>
    <row r="34">
      <c r="B34" s="128" t="s">
        <v>77</v>
      </c>
      <c r="C34" s="132"/>
    </row>
    <row r="35">
      <c r="B35" s="132"/>
      <c r="C35" s="132"/>
    </row>
    <row r="36">
      <c r="B36" s="132"/>
      <c r="C36" s="132"/>
    </row>
    <row r="37">
      <c r="B37" s="132"/>
      <c r="C37" s="132"/>
    </row>
    <row r="38">
      <c r="B38" s="132"/>
      <c r="C38" s="132"/>
    </row>
    <row r="39">
      <c r="B39" s="132"/>
      <c r="C39" s="132"/>
    </row>
    <row r="40">
      <c r="B40" s="132"/>
      <c r="C40" s="132"/>
    </row>
    <row r="41">
      <c r="B41" s="132"/>
      <c r="C41" s="132"/>
    </row>
    <row r="42">
      <c r="A42" s="1"/>
      <c r="B42" s="3" t="s">
        <v>78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4"/>
      <c r="B43" s="5" t="s">
        <v>1</v>
      </c>
      <c r="C43" s="5" t="s">
        <v>2</v>
      </c>
      <c r="D43" s="6" t="s">
        <v>3</v>
      </c>
      <c r="E43" s="6" t="s">
        <v>4</v>
      </c>
      <c r="F43" s="6" t="s">
        <v>5</v>
      </c>
      <c r="G43" s="6" t="s">
        <v>6</v>
      </c>
      <c r="H43" s="6" t="s">
        <v>7</v>
      </c>
      <c r="I43" s="6" t="s">
        <v>8</v>
      </c>
      <c r="J43" s="5" t="s">
        <v>9</v>
      </c>
      <c r="K43" s="5" t="s">
        <v>10</v>
      </c>
      <c r="L43" s="5" t="s">
        <v>11</v>
      </c>
      <c r="M43" s="5" t="s">
        <v>12</v>
      </c>
      <c r="N43" s="5" t="s">
        <v>13</v>
      </c>
      <c r="O43" s="5" t="s">
        <v>14</v>
      </c>
      <c r="P43" s="5" t="s">
        <v>15</v>
      </c>
      <c r="Q43" s="5" t="s">
        <v>16</v>
      </c>
      <c r="R43" s="5" t="s">
        <v>17</v>
      </c>
      <c r="S43" s="5" t="s">
        <v>18</v>
      </c>
      <c r="T43" s="5" t="s">
        <v>19</v>
      </c>
      <c r="U43" s="5" t="s">
        <v>20</v>
      </c>
      <c r="V43" s="5" t="s">
        <v>21</v>
      </c>
      <c r="W43" s="5" t="s">
        <v>22</v>
      </c>
      <c r="X43" s="5" t="s">
        <v>23</v>
      </c>
      <c r="Y43" s="6" t="s">
        <v>24</v>
      </c>
      <c r="Z43" s="6" t="s">
        <v>25</v>
      </c>
      <c r="AA43" s="6" t="s">
        <v>26</v>
      </c>
      <c r="AB43" s="6" t="s">
        <v>27</v>
      </c>
      <c r="AC43" s="6" t="s">
        <v>28</v>
      </c>
      <c r="AD43" s="6" t="s">
        <v>29</v>
      </c>
      <c r="AE43" s="6" t="s">
        <v>30</v>
      </c>
      <c r="AF43" s="7" t="s">
        <v>31</v>
      </c>
      <c r="AG43" s="7" t="s">
        <v>32</v>
      </c>
      <c r="AH43" s="7" t="s">
        <v>33</v>
      </c>
      <c r="AI43" s="7" t="s">
        <v>34</v>
      </c>
      <c r="AJ43" s="7" t="s">
        <v>35</v>
      </c>
      <c r="AK43" s="7" t="s">
        <v>36</v>
      </c>
      <c r="AL43" s="7" t="s">
        <v>37</v>
      </c>
      <c r="AM43" s="7" t="s">
        <v>38</v>
      </c>
    </row>
    <row r="44">
      <c r="A44" s="8"/>
      <c r="B44" s="9" t="s">
        <v>39</v>
      </c>
      <c r="C44" s="10" t="s">
        <v>40</v>
      </c>
      <c r="D44" s="11">
        <f t="shared" ref="D44:D60" si="14">ROUND((W:W) + (X:X),3)</f>
        <v>1.38</v>
      </c>
      <c r="E44" s="12">
        <f t="shared" ref="E44:E60" si="15">ROUND((((0.69*(R:R)))+(0.722*(AF:AF))+(0.888*(AB:AB))+ (1.271*(N:N))+(1.616*(O:O))+(2.101*(P:P)))/(((K:K)+(R:R)+(AH:AH)+(AF:AF))), 3)</f>
        <v>0.565</v>
      </c>
      <c r="F44" s="13">
        <f t="shared" ref="F44:F60" si="16">X:X - V:V</f>
        <v>0.491</v>
      </c>
      <c r="G44" s="14">
        <f t="shared" ref="G44:G60" si="17">ROUND((S:S)/(AC:AC),2) * 100</f>
        <v>20</v>
      </c>
      <c r="H44" s="15">
        <f t="shared" ref="H44:H60" si="18">ROUND((R:R)/(AC:AC),2) * 100</f>
        <v>19</v>
      </c>
      <c r="I44" s="16">
        <f t="shared" ref="I44:I60" si="19">ROUND(R:R / S:S, 2)</f>
        <v>0.97</v>
      </c>
      <c r="J44" s="17">
        <v>52.0</v>
      </c>
      <c r="K44" s="17">
        <v>157.0</v>
      </c>
      <c r="L44" s="17">
        <v>56.0</v>
      </c>
      <c r="M44" s="17">
        <v>60.0</v>
      </c>
      <c r="N44" s="17">
        <v>8.0</v>
      </c>
      <c r="O44" s="17">
        <v>3.0</v>
      </c>
      <c r="P44" s="17">
        <v>21.0</v>
      </c>
      <c r="Q44" s="17">
        <v>66.0</v>
      </c>
      <c r="R44" s="17">
        <v>38.0</v>
      </c>
      <c r="S44" s="17">
        <v>39.0</v>
      </c>
      <c r="T44" s="17">
        <v>6.0</v>
      </c>
      <c r="U44" s="17">
        <v>0.0</v>
      </c>
      <c r="V44" s="17">
        <v>0.382</v>
      </c>
      <c r="W44" s="17">
        <v>0.507</v>
      </c>
      <c r="X44" s="17">
        <v>0.873</v>
      </c>
      <c r="Y44" s="18">
        <f t="shared" ref="Y44:Y60" si="20">AB44 + 2*N44 + 3*O44 + 4*P44</f>
        <v>137</v>
      </c>
      <c r="Z44" s="19">
        <f t="shared" ref="Z44:Z60" si="21">ROUND(((M:M)-(P:P))/((K:K)-(S:S)-(P:P)+(AH:AH)), 3)</f>
        <v>0.402</v>
      </c>
      <c r="AA44" s="20">
        <f t="shared" ref="AA44:AA60" si="22">Z:Z - V:V</f>
        <v>0.02</v>
      </c>
      <c r="AB44" s="20">
        <f t="shared" ref="AB44:AB60" si="23">(M:M)-(N:N)-(O:O)-(P:P)</f>
        <v>28</v>
      </c>
      <c r="AC44" s="18">
        <f t="shared" ref="AC44:AC60" si="24">K:K + R:R + AH:AH + AI:AI</f>
        <v>195</v>
      </c>
      <c r="AD44" s="21">
        <f t="shared" ref="AD44:AD49" si="25">ROUND((T:T)/(T:T + U:U), 2)</f>
        <v>1</v>
      </c>
      <c r="AE44" s="22" t="s">
        <v>41</v>
      </c>
      <c r="AF44" s="23"/>
      <c r="AG44" s="23"/>
      <c r="AH44" s="23"/>
      <c r="AI44" s="23"/>
      <c r="AJ44" s="23"/>
      <c r="AK44" s="23"/>
      <c r="AL44" s="23"/>
      <c r="AM44" s="23"/>
    </row>
    <row r="45">
      <c r="A45" s="24"/>
      <c r="B45" s="25" t="s">
        <v>50</v>
      </c>
      <c r="C45" s="26" t="s">
        <v>43</v>
      </c>
      <c r="D45" s="62">
        <f t="shared" si="14"/>
        <v>1.246</v>
      </c>
      <c r="E45" s="63">
        <f t="shared" si="15"/>
        <v>0.508</v>
      </c>
      <c r="F45" s="64">
        <f t="shared" si="16"/>
        <v>0.438</v>
      </c>
      <c r="G45" s="65">
        <f t="shared" si="17"/>
        <v>14</v>
      </c>
      <c r="H45" s="66">
        <f t="shared" si="18"/>
        <v>14</v>
      </c>
      <c r="I45" s="67">
        <f t="shared" si="19"/>
        <v>0.96</v>
      </c>
      <c r="J45" s="33">
        <v>45.0</v>
      </c>
      <c r="K45" s="33">
        <v>137.0</v>
      </c>
      <c r="L45" s="33">
        <v>40.0</v>
      </c>
      <c r="M45" s="33">
        <v>47.0</v>
      </c>
      <c r="N45" s="33">
        <v>18.0</v>
      </c>
      <c r="O45" s="33">
        <v>0.0</v>
      </c>
      <c r="P45" s="33">
        <v>14.0</v>
      </c>
      <c r="Q45" s="33">
        <v>49.0</v>
      </c>
      <c r="R45" s="33">
        <v>22.0</v>
      </c>
      <c r="S45" s="33">
        <v>23.0</v>
      </c>
      <c r="T45" s="33">
        <v>3.0</v>
      </c>
      <c r="U45" s="33">
        <v>2.0</v>
      </c>
      <c r="V45" s="33">
        <v>0.343</v>
      </c>
      <c r="W45" s="33">
        <v>0.465</v>
      </c>
      <c r="X45" s="33">
        <v>0.781</v>
      </c>
      <c r="Y45" s="34">
        <f t="shared" si="20"/>
        <v>107</v>
      </c>
      <c r="Z45" s="35">
        <f t="shared" si="21"/>
        <v>0.33</v>
      </c>
      <c r="AA45" s="36">
        <f t="shared" si="22"/>
        <v>-0.013</v>
      </c>
      <c r="AB45" s="36">
        <f t="shared" si="23"/>
        <v>15</v>
      </c>
      <c r="AC45" s="34">
        <f t="shared" si="24"/>
        <v>159</v>
      </c>
      <c r="AD45" s="68">
        <f t="shared" si="25"/>
        <v>0.6</v>
      </c>
      <c r="AE45" s="38" t="s">
        <v>41</v>
      </c>
      <c r="AF45" s="48"/>
      <c r="AG45" s="48"/>
      <c r="AH45" s="48"/>
      <c r="AI45" s="48"/>
      <c r="AJ45" s="48"/>
      <c r="AK45" s="48"/>
      <c r="AL45" s="48"/>
      <c r="AM45" s="48"/>
    </row>
    <row r="46">
      <c r="A46" s="24"/>
      <c r="B46" s="40" t="s">
        <v>48</v>
      </c>
      <c r="C46" s="26" t="s">
        <v>49</v>
      </c>
      <c r="D46" s="55">
        <f t="shared" si="14"/>
        <v>1.284</v>
      </c>
      <c r="E46" s="56">
        <f t="shared" si="15"/>
        <v>0.537</v>
      </c>
      <c r="F46" s="57">
        <f t="shared" si="16"/>
        <v>0.413</v>
      </c>
      <c r="G46" s="58">
        <f t="shared" si="17"/>
        <v>22</v>
      </c>
      <c r="H46" s="59">
        <f t="shared" si="18"/>
        <v>13</v>
      </c>
      <c r="I46" s="60">
        <f t="shared" si="19"/>
        <v>0.6</v>
      </c>
      <c r="J46" s="33">
        <v>61.0</v>
      </c>
      <c r="K46" s="33">
        <v>211.0</v>
      </c>
      <c r="L46" s="33">
        <v>69.0</v>
      </c>
      <c r="M46" s="33">
        <v>83.0</v>
      </c>
      <c r="N46" s="33">
        <v>21.0</v>
      </c>
      <c r="O46" s="33">
        <v>0.0</v>
      </c>
      <c r="P46" s="33">
        <v>22.0</v>
      </c>
      <c r="Q46" s="33">
        <v>63.0</v>
      </c>
      <c r="R46" s="33">
        <v>32.0</v>
      </c>
      <c r="S46" s="33">
        <v>53.0</v>
      </c>
      <c r="T46" s="33">
        <v>1.0</v>
      </c>
      <c r="U46" s="33">
        <v>0.0</v>
      </c>
      <c r="V46" s="33">
        <v>0.393</v>
      </c>
      <c r="W46" s="33">
        <v>0.478</v>
      </c>
      <c r="X46" s="33">
        <v>0.806</v>
      </c>
      <c r="Y46" s="34">
        <f t="shared" si="20"/>
        <v>170</v>
      </c>
      <c r="Z46" s="35">
        <f t="shared" si="21"/>
        <v>0.449</v>
      </c>
      <c r="AA46" s="36">
        <f t="shared" si="22"/>
        <v>0.056</v>
      </c>
      <c r="AB46" s="36">
        <f t="shared" si="23"/>
        <v>40</v>
      </c>
      <c r="AC46" s="34">
        <f t="shared" si="24"/>
        <v>243</v>
      </c>
      <c r="AD46" s="61">
        <f t="shared" si="25"/>
        <v>1</v>
      </c>
      <c r="AE46" s="38" t="s">
        <v>41</v>
      </c>
      <c r="AF46" s="48"/>
      <c r="AG46" s="48"/>
      <c r="AH46" s="48"/>
      <c r="AI46" s="48"/>
      <c r="AJ46" s="48"/>
      <c r="AK46" s="48"/>
      <c r="AL46" s="48"/>
      <c r="AM46" s="48"/>
    </row>
    <row r="47">
      <c r="A47" s="24"/>
      <c r="B47" s="40" t="s">
        <v>46</v>
      </c>
      <c r="C47" s="26" t="s">
        <v>47</v>
      </c>
      <c r="D47" s="49">
        <f t="shared" si="14"/>
        <v>1.291</v>
      </c>
      <c r="E47" s="50">
        <f t="shared" si="15"/>
        <v>0.53</v>
      </c>
      <c r="F47" s="49">
        <f t="shared" si="16"/>
        <v>0.37</v>
      </c>
      <c r="G47" s="51">
        <f t="shared" si="17"/>
        <v>23</v>
      </c>
      <c r="H47" s="52">
        <f t="shared" si="18"/>
        <v>21</v>
      </c>
      <c r="I47" s="53">
        <f t="shared" si="19"/>
        <v>0.91</v>
      </c>
      <c r="J47" s="33">
        <v>59.0</v>
      </c>
      <c r="K47" s="33">
        <v>162.0</v>
      </c>
      <c r="L47" s="33">
        <v>76.0</v>
      </c>
      <c r="M47" s="33">
        <v>62.0</v>
      </c>
      <c r="N47" s="33">
        <v>12.0</v>
      </c>
      <c r="O47" s="33">
        <v>0.0</v>
      </c>
      <c r="P47" s="33">
        <v>16.0</v>
      </c>
      <c r="Q47" s="33">
        <v>55.0</v>
      </c>
      <c r="R47" s="33">
        <v>43.0</v>
      </c>
      <c r="S47" s="33">
        <v>47.0</v>
      </c>
      <c r="T47" s="33">
        <v>7.0</v>
      </c>
      <c r="U47" s="33">
        <v>3.0</v>
      </c>
      <c r="V47" s="33">
        <v>0.383</v>
      </c>
      <c r="W47" s="33">
        <v>0.538</v>
      </c>
      <c r="X47" s="33">
        <v>0.753</v>
      </c>
      <c r="Y47" s="34">
        <f t="shared" si="20"/>
        <v>122</v>
      </c>
      <c r="Z47" s="35">
        <f t="shared" si="21"/>
        <v>0.465</v>
      </c>
      <c r="AA47" s="36">
        <f t="shared" si="22"/>
        <v>0.082</v>
      </c>
      <c r="AB47" s="36">
        <f t="shared" si="23"/>
        <v>34</v>
      </c>
      <c r="AC47" s="34">
        <f t="shared" si="24"/>
        <v>205</v>
      </c>
      <c r="AD47" s="54">
        <f t="shared" si="25"/>
        <v>0.7</v>
      </c>
      <c r="AE47" s="38" t="s">
        <v>41</v>
      </c>
      <c r="AF47" s="39"/>
      <c r="AG47" s="39"/>
      <c r="AH47" s="39"/>
      <c r="AI47" s="39"/>
      <c r="AJ47" s="39"/>
      <c r="AK47" s="39"/>
      <c r="AL47" s="39"/>
      <c r="AM47" s="39"/>
    </row>
    <row r="48">
      <c r="A48" s="24"/>
      <c r="B48" s="25" t="s">
        <v>64</v>
      </c>
      <c r="C48" s="26" t="s">
        <v>47</v>
      </c>
      <c r="D48" s="109">
        <f t="shared" si="14"/>
        <v>1.199</v>
      </c>
      <c r="E48" s="110">
        <f t="shared" si="15"/>
        <v>0.486</v>
      </c>
      <c r="F48" s="111">
        <f t="shared" si="16"/>
        <v>0.367</v>
      </c>
      <c r="G48" s="72">
        <f t="shared" si="17"/>
        <v>16</v>
      </c>
      <c r="H48" s="31">
        <f t="shared" si="18"/>
        <v>17</v>
      </c>
      <c r="I48" s="112">
        <f t="shared" si="19"/>
        <v>1.03</v>
      </c>
      <c r="J48" s="33">
        <v>54.0</v>
      </c>
      <c r="K48" s="33">
        <v>150.0</v>
      </c>
      <c r="L48" s="33">
        <v>49.0</v>
      </c>
      <c r="M48" s="33">
        <v>51.0</v>
      </c>
      <c r="N48" s="33">
        <v>10.0</v>
      </c>
      <c r="O48" s="33">
        <v>6.0</v>
      </c>
      <c r="P48" s="33">
        <v>11.0</v>
      </c>
      <c r="Q48" s="33">
        <v>52.0</v>
      </c>
      <c r="R48" s="33">
        <v>30.0</v>
      </c>
      <c r="S48" s="33">
        <v>29.0</v>
      </c>
      <c r="T48" s="33">
        <v>6.0</v>
      </c>
      <c r="U48" s="33">
        <v>1.0</v>
      </c>
      <c r="V48" s="33">
        <v>0.34</v>
      </c>
      <c r="W48" s="33">
        <v>0.492</v>
      </c>
      <c r="X48" s="33">
        <v>0.707</v>
      </c>
      <c r="Y48" s="34">
        <f t="shared" si="20"/>
        <v>106</v>
      </c>
      <c r="Z48" s="35">
        <f t="shared" si="21"/>
        <v>0.364</v>
      </c>
      <c r="AA48" s="36">
        <f t="shared" si="22"/>
        <v>0.024</v>
      </c>
      <c r="AB48" s="36">
        <f t="shared" si="23"/>
        <v>24</v>
      </c>
      <c r="AC48" s="34">
        <f t="shared" si="24"/>
        <v>180</v>
      </c>
      <c r="AD48" s="113">
        <f t="shared" si="25"/>
        <v>0.86</v>
      </c>
      <c r="AE48" s="38" t="s">
        <v>41</v>
      </c>
      <c r="AF48" s="48"/>
      <c r="AG48" s="48"/>
      <c r="AH48" s="48"/>
      <c r="AI48" s="48"/>
      <c r="AJ48" s="48"/>
      <c r="AK48" s="48"/>
      <c r="AL48" s="48"/>
      <c r="AM48" s="48"/>
    </row>
    <row r="49">
      <c r="A49" s="24"/>
      <c r="B49" s="40" t="s">
        <v>44</v>
      </c>
      <c r="C49" s="41" t="s">
        <v>45</v>
      </c>
      <c r="D49" s="42">
        <f t="shared" si="14"/>
        <v>1.305</v>
      </c>
      <c r="E49" s="43">
        <f t="shared" si="15"/>
        <v>0.544</v>
      </c>
      <c r="F49" s="44">
        <f t="shared" si="16"/>
        <v>0.379</v>
      </c>
      <c r="G49" s="45">
        <f t="shared" si="17"/>
        <v>11</v>
      </c>
      <c r="H49" s="46">
        <f t="shared" si="18"/>
        <v>9</v>
      </c>
      <c r="I49" s="30">
        <f t="shared" si="19"/>
        <v>0.82</v>
      </c>
      <c r="J49" s="33">
        <v>55.0</v>
      </c>
      <c r="K49" s="33">
        <v>174.0</v>
      </c>
      <c r="L49" s="33">
        <v>54.0</v>
      </c>
      <c r="M49" s="33">
        <v>75.0</v>
      </c>
      <c r="N49" s="33">
        <v>21.0</v>
      </c>
      <c r="O49" s="33">
        <v>9.0</v>
      </c>
      <c r="P49" s="33">
        <v>9.0</v>
      </c>
      <c r="Q49" s="33">
        <v>48.0</v>
      </c>
      <c r="R49" s="33">
        <v>18.0</v>
      </c>
      <c r="S49" s="33">
        <v>22.0</v>
      </c>
      <c r="T49" s="33">
        <v>10.0</v>
      </c>
      <c r="U49" s="33">
        <v>2.0</v>
      </c>
      <c r="V49" s="33">
        <v>0.431</v>
      </c>
      <c r="W49" s="33">
        <v>0.495</v>
      </c>
      <c r="X49" s="33">
        <v>0.81</v>
      </c>
      <c r="Y49" s="34">
        <f t="shared" si="20"/>
        <v>141</v>
      </c>
      <c r="Z49" s="35">
        <f t="shared" si="21"/>
        <v>0.462</v>
      </c>
      <c r="AA49" s="36">
        <f t="shared" si="22"/>
        <v>0.031</v>
      </c>
      <c r="AB49" s="36">
        <f t="shared" si="23"/>
        <v>36</v>
      </c>
      <c r="AC49" s="34">
        <f t="shared" si="24"/>
        <v>192</v>
      </c>
      <c r="AD49" s="47">
        <f t="shared" si="25"/>
        <v>0.83</v>
      </c>
      <c r="AE49" s="38" t="s">
        <v>41</v>
      </c>
      <c r="AF49" s="48"/>
      <c r="AG49" s="48"/>
      <c r="AH49" s="48"/>
      <c r="AI49" s="48"/>
      <c r="AJ49" s="48"/>
      <c r="AK49" s="48"/>
      <c r="AL49" s="48"/>
      <c r="AM49" s="48"/>
    </row>
    <row r="50">
      <c r="A50" s="24"/>
      <c r="B50" s="40" t="s">
        <v>60</v>
      </c>
      <c r="C50" s="26" t="s">
        <v>52</v>
      </c>
      <c r="D50" s="99">
        <f t="shared" si="14"/>
        <v>1.193</v>
      </c>
      <c r="E50" s="100">
        <f t="shared" si="15"/>
        <v>0.501</v>
      </c>
      <c r="F50" s="55">
        <f t="shared" si="16"/>
        <v>0.366</v>
      </c>
      <c r="G50" s="101">
        <f t="shared" si="17"/>
        <v>25</v>
      </c>
      <c r="H50" s="79">
        <f t="shared" si="18"/>
        <v>10</v>
      </c>
      <c r="I50" s="102">
        <f t="shared" si="19"/>
        <v>0.38</v>
      </c>
      <c r="J50" s="33">
        <v>52.0</v>
      </c>
      <c r="K50" s="33">
        <v>178.0</v>
      </c>
      <c r="L50" s="33">
        <v>57.0</v>
      </c>
      <c r="M50" s="33">
        <v>67.0</v>
      </c>
      <c r="N50" s="33">
        <v>11.0</v>
      </c>
      <c r="O50" s="33">
        <v>0.0</v>
      </c>
      <c r="P50" s="33">
        <v>18.0</v>
      </c>
      <c r="Q50" s="33">
        <v>55.0</v>
      </c>
      <c r="R50" s="33">
        <v>19.0</v>
      </c>
      <c r="S50" s="33">
        <v>50.0</v>
      </c>
      <c r="T50" s="33">
        <v>0.0</v>
      </c>
      <c r="U50" s="33">
        <v>0.0</v>
      </c>
      <c r="V50" s="33">
        <v>0.376</v>
      </c>
      <c r="W50" s="33">
        <v>0.451</v>
      </c>
      <c r="X50" s="33">
        <v>0.742</v>
      </c>
      <c r="Y50" s="34">
        <f t="shared" si="20"/>
        <v>132</v>
      </c>
      <c r="Z50" s="35">
        <f t="shared" si="21"/>
        <v>0.445</v>
      </c>
      <c r="AA50" s="36">
        <f t="shared" si="22"/>
        <v>0.069</v>
      </c>
      <c r="AB50" s="36">
        <f t="shared" si="23"/>
        <v>38</v>
      </c>
      <c r="AC50" s="34">
        <f t="shared" si="24"/>
        <v>197</v>
      </c>
      <c r="AD50" s="103" t="s">
        <v>61</v>
      </c>
      <c r="AE50" s="38" t="s">
        <v>41</v>
      </c>
      <c r="AF50" s="48"/>
      <c r="AG50" s="48"/>
      <c r="AH50" s="48"/>
      <c r="AI50" s="48"/>
      <c r="AJ50" s="48"/>
      <c r="AK50" s="48"/>
      <c r="AL50" s="48"/>
      <c r="AM50" s="48"/>
    </row>
    <row r="51">
      <c r="A51" s="24"/>
      <c r="B51" s="25" t="s">
        <v>67</v>
      </c>
      <c r="C51" s="26" t="s">
        <v>68</v>
      </c>
      <c r="D51" s="29">
        <f t="shared" si="14"/>
        <v>1.18</v>
      </c>
      <c r="E51" s="118">
        <f t="shared" si="15"/>
        <v>0.493</v>
      </c>
      <c r="F51" s="119">
        <f t="shared" si="16"/>
        <v>0.362</v>
      </c>
      <c r="G51" s="85">
        <f t="shared" si="17"/>
        <v>13</v>
      </c>
      <c r="H51" s="120">
        <f t="shared" si="18"/>
        <v>8</v>
      </c>
      <c r="I51" s="60">
        <f t="shared" si="19"/>
        <v>0.6</v>
      </c>
      <c r="J51" s="33">
        <v>42.0</v>
      </c>
      <c r="K51" s="33">
        <v>174.0</v>
      </c>
      <c r="L51" s="33">
        <v>59.0</v>
      </c>
      <c r="M51" s="33">
        <v>65.0</v>
      </c>
      <c r="N51" s="33">
        <v>10.0</v>
      </c>
      <c r="O51" s="33">
        <v>1.0</v>
      </c>
      <c r="P51" s="33">
        <v>17.0</v>
      </c>
      <c r="Q51" s="33">
        <v>46.0</v>
      </c>
      <c r="R51" s="33">
        <v>15.0</v>
      </c>
      <c r="S51" s="33">
        <v>25.0</v>
      </c>
      <c r="T51" s="33">
        <v>9.0</v>
      </c>
      <c r="U51" s="33">
        <v>0.0</v>
      </c>
      <c r="V51" s="33">
        <v>0.374</v>
      </c>
      <c r="W51" s="33">
        <v>0.444</v>
      </c>
      <c r="X51" s="33">
        <v>0.736</v>
      </c>
      <c r="Y51" s="34">
        <f t="shared" si="20"/>
        <v>128</v>
      </c>
      <c r="Z51" s="35">
        <f t="shared" si="21"/>
        <v>0.364</v>
      </c>
      <c r="AA51" s="36">
        <f t="shared" si="22"/>
        <v>-0.01</v>
      </c>
      <c r="AB51" s="36">
        <f t="shared" si="23"/>
        <v>37</v>
      </c>
      <c r="AC51" s="34">
        <f t="shared" si="24"/>
        <v>189</v>
      </c>
      <c r="AD51" s="61">
        <f t="shared" ref="AD51:AD58" si="26">ROUND((T:T)/(T:T + U:U), 2)</f>
        <v>1</v>
      </c>
      <c r="AE51" s="38" t="s">
        <v>41</v>
      </c>
      <c r="AF51" s="48"/>
      <c r="AG51" s="48"/>
      <c r="AH51" s="48"/>
      <c r="AI51" s="48"/>
      <c r="AJ51" s="48"/>
      <c r="AK51" s="48"/>
      <c r="AL51" s="48"/>
      <c r="AM51" s="48"/>
    </row>
    <row r="52">
      <c r="A52" s="24"/>
      <c r="B52" s="40" t="s">
        <v>51</v>
      </c>
      <c r="C52" s="26" t="s">
        <v>52</v>
      </c>
      <c r="D52" s="69">
        <f t="shared" si="14"/>
        <v>1.267</v>
      </c>
      <c r="E52" s="70">
        <f t="shared" si="15"/>
        <v>0.539</v>
      </c>
      <c r="F52" s="71">
        <f t="shared" si="16"/>
        <v>0.36</v>
      </c>
      <c r="G52" s="72">
        <f t="shared" si="17"/>
        <v>16</v>
      </c>
      <c r="H52" s="73">
        <f t="shared" si="18"/>
        <v>7</v>
      </c>
      <c r="I52" s="74">
        <f t="shared" si="19"/>
        <v>0.45</v>
      </c>
      <c r="J52" s="33">
        <v>53.0</v>
      </c>
      <c r="K52" s="33">
        <v>183.0</v>
      </c>
      <c r="L52" s="33">
        <v>57.0</v>
      </c>
      <c r="M52" s="33">
        <v>79.0</v>
      </c>
      <c r="N52" s="33">
        <v>18.0</v>
      </c>
      <c r="O52" s="33">
        <v>0.0</v>
      </c>
      <c r="P52" s="33">
        <v>16.0</v>
      </c>
      <c r="Q52" s="33">
        <v>63.0</v>
      </c>
      <c r="R52" s="33">
        <v>14.0</v>
      </c>
      <c r="S52" s="33">
        <v>31.0</v>
      </c>
      <c r="T52" s="33">
        <v>1.0</v>
      </c>
      <c r="U52" s="33">
        <v>0.0</v>
      </c>
      <c r="V52" s="33">
        <v>0.432</v>
      </c>
      <c r="W52" s="33">
        <v>0.475</v>
      </c>
      <c r="X52" s="33">
        <v>0.792</v>
      </c>
      <c r="Y52" s="34">
        <f t="shared" si="20"/>
        <v>145</v>
      </c>
      <c r="Z52" s="35">
        <f t="shared" si="21"/>
        <v>0.463</v>
      </c>
      <c r="AA52" s="36">
        <f t="shared" si="22"/>
        <v>0.031</v>
      </c>
      <c r="AB52" s="36">
        <f t="shared" si="23"/>
        <v>45</v>
      </c>
      <c r="AC52" s="34">
        <f t="shared" si="24"/>
        <v>197</v>
      </c>
      <c r="AD52" s="61">
        <f t="shared" si="26"/>
        <v>1</v>
      </c>
      <c r="AE52" s="38" t="s">
        <v>41</v>
      </c>
      <c r="AF52" s="48"/>
      <c r="AG52" s="48"/>
      <c r="AH52" s="48"/>
      <c r="AI52" s="48"/>
      <c r="AJ52" s="48"/>
      <c r="AK52" s="48"/>
      <c r="AL52" s="48"/>
      <c r="AM52" s="48"/>
    </row>
    <row r="53">
      <c r="A53" s="24"/>
      <c r="B53" s="25" t="s">
        <v>69</v>
      </c>
      <c r="C53" s="41" t="s">
        <v>45</v>
      </c>
      <c r="D53" s="121">
        <f t="shared" si="14"/>
        <v>1.172</v>
      </c>
      <c r="E53" s="122">
        <f t="shared" si="15"/>
        <v>0.482</v>
      </c>
      <c r="F53" s="123">
        <f t="shared" si="16"/>
        <v>0.344</v>
      </c>
      <c r="G53" s="124">
        <f t="shared" si="17"/>
        <v>24</v>
      </c>
      <c r="H53" s="125">
        <f t="shared" si="18"/>
        <v>18</v>
      </c>
      <c r="I53" s="126">
        <f t="shared" si="19"/>
        <v>0.75</v>
      </c>
      <c r="J53" s="33">
        <v>54.0</v>
      </c>
      <c r="K53" s="33">
        <v>151.0</v>
      </c>
      <c r="L53" s="33">
        <v>54.0</v>
      </c>
      <c r="M53" s="33">
        <v>51.0</v>
      </c>
      <c r="N53" s="33">
        <v>17.0</v>
      </c>
      <c r="O53" s="33">
        <v>1.0</v>
      </c>
      <c r="P53" s="33">
        <v>11.0</v>
      </c>
      <c r="Q53" s="33">
        <v>38.0</v>
      </c>
      <c r="R53" s="33">
        <v>33.0</v>
      </c>
      <c r="S53" s="33">
        <v>44.0</v>
      </c>
      <c r="T53" s="33">
        <v>13.0</v>
      </c>
      <c r="U53" s="33">
        <v>5.0</v>
      </c>
      <c r="V53" s="33">
        <v>0.338</v>
      </c>
      <c r="W53" s="33">
        <v>0.49</v>
      </c>
      <c r="X53" s="33">
        <v>0.682</v>
      </c>
      <c r="Y53" s="34">
        <f t="shared" si="20"/>
        <v>103</v>
      </c>
      <c r="Z53" s="35">
        <f t="shared" si="21"/>
        <v>0.417</v>
      </c>
      <c r="AA53" s="36">
        <f t="shared" si="22"/>
        <v>0.079</v>
      </c>
      <c r="AB53" s="36">
        <f t="shared" si="23"/>
        <v>22</v>
      </c>
      <c r="AC53" s="34">
        <f t="shared" si="24"/>
        <v>184</v>
      </c>
      <c r="AD53" s="127">
        <f t="shared" si="26"/>
        <v>0.72</v>
      </c>
      <c r="AE53" s="38" t="s">
        <v>41</v>
      </c>
      <c r="AF53" s="48"/>
      <c r="AG53" s="48"/>
      <c r="AH53" s="48"/>
      <c r="AI53" s="48"/>
      <c r="AJ53" s="48"/>
      <c r="AK53" s="48"/>
      <c r="AL53" s="48"/>
      <c r="AM53" s="48"/>
    </row>
    <row r="54">
      <c r="A54" s="24"/>
      <c r="B54" s="25" t="s">
        <v>53</v>
      </c>
      <c r="C54" s="26" t="s">
        <v>54</v>
      </c>
      <c r="D54" s="75">
        <f t="shared" si="14"/>
        <v>1.232</v>
      </c>
      <c r="E54" s="76">
        <f t="shared" si="15"/>
        <v>0.521</v>
      </c>
      <c r="F54" s="77">
        <f t="shared" si="16"/>
        <v>0.338</v>
      </c>
      <c r="G54" s="78">
        <f t="shared" si="17"/>
        <v>12</v>
      </c>
      <c r="H54" s="79">
        <f t="shared" si="18"/>
        <v>10</v>
      </c>
      <c r="I54" s="80">
        <f t="shared" si="19"/>
        <v>0.86</v>
      </c>
      <c r="J54" s="33">
        <v>44.0</v>
      </c>
      <c r="K54" s="33">
        <v>157.0</v>
      </c>
      <c r="L54" s="33">
        <v>42.0</v>
      </c>
      <c r="M54" s="33">
        <v>65.0</v>
      </c>
      <c r="N54" s="33">
        <v>8.0</v>
      </c>
      <c r="O54" s="33">
        <v>3.0</v>
      </c>
      <c r="P54" s="33">
        <v>13.0</v>
      </c>
      <c r="Q54" s="33">
        <v>62.0</v>
      </c>
      <c r="R54" s="33">
        <v>18.0</v>
      </c>
      <c r="S54" s="33">
        <v>21.0</v>
      </c>
      <c r="T54" s="33">
        <v>14.0</v>
      </c>
      <c r="U54" s="33">
        <v>1.0</v>
      </c>
      <c r="V54" s="33">
        <v>0.414</v>
      </c>
      <c r="W54" s="33">
        <v>0.48</v>
      </c>
      <c r="X54" s="33">
        <v>0.752</v>
      </c>
      <c r="Y54" s="34">
        <f t="shared" si="20"/>
        <v>118</v>
      </c>
      <c r="Z54" s="35">
        <f t="shared" si="21"/>
        <v>0.423</v>
      </c>
      <c r="AA54" s="36">
        <f t="shared" si="22"/>
        <v>0.009</v>
      </c>
      <c r="AB54" s="36">
        <f t="shared" si="23"/>
        <v>41</v>
      </c>
      <c r="AC54" s="34">
        <f t="shared" si="24"/>
        <v>175</v>
      </c>
      <c r="AD54" s="81">
        <f t="shared" si="26"/>
        <v>0.93</v>
      </c>
      <c r="AE54" s="38" t="s">
        <v>41</v>
      </c>
      <c r="AF54" s="48"/>
      <c r="AG54" s="48"/>
      <c r="AH54" s="48"/>
      <c r="AI54" s="48"/>
      <c r="AJ54" s="48"/>
      <c r="AK54" s="48"/>
      <c r="AL54" s="48"/>
      <c r="AM54" s="48"/>
    </row>
    <row r="55">
      <c r="A55" s="24"/>
      <c r="B55" s="25" t="s">
        <v>57</v>
      </c>
      <c r="C55" s="41" t="s">
        <v>45</v>
      </c>
      <c r="D55" s="89">
        <f t="shared" si="14"/>
        <v>1.198</v>
      </c>
      <c r="E55" s="90">
        <f t="shared" si="15"/>
        <v>0.502</v>
      </c>
      <c r="F55" s="91">
        <f t="shared" si="16"/>
        <v>0.32</v>
      </c>
      <c r="G55" s="92">
        <f t="shared" si="17"/>
        <v>30</v>
      </c>
      <c r="H55" s="59">
        <f t="shared" si="18"/>
        <v>13</v>
      </c>
      <c r="I55" s="93">
        <f t="shared" si="19"/>
        <v>0.44</v>
      </c>
      <c r="J55" s="33">
        <v>53.0</v>
      </c>
      <c r="K55" s="33">
        <v>125.0</v>
      </c>
      <c r="L55" s="33">
        <v>42.0</v>
      </c>
      <c r="M55" s="33">
        <v>49.0</v>
      </c>
      <c r="N55" s="33">
        <v>10.0</v>
      </c>
      <c r="O55" s="33">
        <v>3.0</v>
      </c>
      <c r="P55" s="33">
        <v>8.0</v>
      </c>
      <c r="Q55" s="33">
        <v>36.0</v>
      </c>
      <c r="R55" s="33">
        <v>19.0</v>
      </c>
      <c r="S55" s="33">
        <v>43.0</v>
      </c>
      <c r="T55" s="33">
        <v>9.0</v>
      </c>
      <c r="U55" s="33">
        <v>0.0</v>
      </c>
      <c r="V55" s="33">
        <v>0.392</v>
      </c>
      <c r="W55" s="33">
        <v>0.486</v>
      </c>
      <c r="X55" s="33">
        <v>0.712</v>
      </c>
      <c r="Y55" s="34">
        <f t="shared" si="20"/>
        <v>89</v>
      </c>
      <c r="Z55" s="35">
        <f t="shared" si="21"/>
        <v>0.554</v>
      </c>
      <c r="AA55" s="36">
        <f t="shared" si="22"/>
        <v>0.162</v>
      </c>
      <c r="AB55" s="36">
        <f t="shared" si="23"/>
        <v>28</v>
      </c>
      <c r="AC55" s="34">
        <f t="shared" si="24"/>
        <v>144</v>
      </c>
      <c r="AD55" s="61">
        <f t="shared" si="26"/>
        <v>1</v>
      </c>
      <c r="AE55" s="38" t="s">
        <v>41</v>
      </c>
      <c r="AF55" s="48"/>
      <c r="AG55" s="48"/>
      <c r="AH55" s="48"/>
      <c r="AI55" s="48"/>
      <c r="AJ55" s="48"/>
      <c r="AK55" s="48"/>
      <c r="AL55" s="48"/>
      <c r="AM55" s="48"/>
    </row>
    <row r="56">
      <c r="A56" s="24"/>
      <c r="B56" s="25" t="s">
        <v>65</v>
      </c>
      <c r="C56" s="26" t="s">
        <v>66</v>
      </c>
      <c r="D56" s="114">
        <f t="shared" si="14"/>
        <v>1.142</v>
      </c>
      <c r="E56" s="115">
        <f t="shared" si="15"/>
        <v>0.483</v>
      </c>
      <c r="F56" s="84">
        <f t="shared" si="16"/>
        <v>0.308</v>
      </c>
      <c r="G56" s="78">
        <f t="shared" si="17"/>
        <v>12</v>
      </c>
      <c r="H56" s="116">
        <f t="shared" si="18"/>
        <v>15</v>
      </c>
      <c r="I56" s="117">
        <f t="shared" si="19"/>
        <v>1.27</v>
      </c>
      <c r="J56" s="33">
        <v>52.0</v>
      </c>
      <c r="K56" s="33">
        <v>159.0</v>
      </c>
      <c r="L56" s="33">
        <v>44.0</v>
      </c>
      <c r="M56" s="33">
        <v>58.0</v>
      </c>
      <c r="N56" s="33">
        <v>13.0</v>
      </c>
      <c r="O56" s="33">
        <v>0.0</v>
      </c>
      <c r="P56" s="33">
        <v>12.0</v>
      </c>
      <c r="Q56" s="33">
        <v>52.0</v>
      </c>
      <c r="R56" s="33">
        <v>28.0</v>
      </c>
      <c r="S56" s="33">
        <v>22.0</v>
      </c>
      <c r="T56" s="33">
        <v>2.0</v>
      </c>
      <c r="U56" s="33">
        <v>0.0</v>
      </c>
      <c r="V56" s="33">
        <v>0.365</v>
      </c>
      <c r="W56" s="33">
        <v>0.469</v>
      </c>
      <c r="X56" s="33">
        <v>0.673</v>
      </c>
      <c r="Y56" s="34">
        <f t="shared" si="20"/>
        <v>107</v>
      </c>
      <c r="Z56" s="35">
        <f t="shared" si="21"/>
        <v>0.368</v>
      </c>
      <c r="AA56" s="36">
        <f t="shared" si="22"/>
        <v>0.003</v>
      </c>
      <c r="AB56" s="36">
        <f t="shared" si="23"/>
        <v>33</v>
      </c>
      <c r="AC56" s="34">
        <f t="shared" si="24"/>
        <v>187</v>
      </c>
      <c r="AD56" s="61">
        <f t="shared" si="26"/>
        <v>1</v>
      </c>
      <c r="AE56" s="38" t="s">
        <v>41</v>
      </c>
      <c r="AF56" s="48"/>
      <c r="AG56" s="48"/>
      <c r="AH56" s="48"/>
      <c r="AI56" s="48"/>
      <c r="AJ56" s="48"/>
      <c r="AK56" s="48"/>
      <c r="AL56" s="48"/>
      <c r="AM56" s="48"/>
    </row>
    <row r="57">
      <c r="A57" s="24"/>
      <c r="B57" s="40" t="s">
        <v>55</v>
      </c>
      <c r="C57" s="26" t="s">
        <v>56</v>
      </c>
      <c r="D57" s="82">
        <f t="shared" si="14"/>
        <v>1.216</v>
      </c>
      <c r="E57" s="83">
        <f t="shared" si="15"/>
        <v>0.512</v>
      </c>
      <c r="F57" s="84">
        <f t="shared" si="16"/>
        <v>0.307</v>
      </c>
      <c r="G57" s="85">
        <f t="shared" si="17"/>
        <v>13</v>
      </c>
      <c r="H57" s="86">
        <f t="shared" si="18"/>
        <v>11</v>
      </c>
      <c r="I57" s="87">
        <f t="shared" si="19"/>
        <v>0.88</v>
      </c>
      <c r="J57" s="33">
        <v>53.0</v>
      </c>
      <c r="K57" s="33">
        <v>173.0</v>
      </c>
      <c r="L57" s="33">
        <v>54.0</v>
      </c>
      <c r="M57" s="33">
        <v>72.0</v>
      </c>
      <c r="N57" s="33">
        <v>16.0</v>
      </c>
      <c r="O57" s="33">
        <v>5.0</v>
      </c>
      <c r="P57" s="33">
        <v>9.0</v>
      </c>
      <c r="Q57" s="33">
        <v>63.0</v>
      </c>
      <c r="R57" s="33">
        <v>22.0</v>
      </c>
      <c r="S57" s="33">
        <v>25.0</v>
      </c>
      <c r="T57" s="33">
        <v>13.0</v>
      </c>
      <c r="U57" s="33">
        <v>4.0</v>
      </c>
      <c r="V57" s="33">
        <v>0.416</v>
      </c>
      <c r="W57" s="33">
        <v>0.493</v>
      </c>
      <c r="X57" s="33">
        <v>0.723</v>
      </c>
      <c r="Y57" s="34">
        <f t="shared" si="20"/>
        <v>125</v>
      </c>
      <c r="Z57" s="35">
        <f t="shared" si="21"/>
        <v>0.453</v>
      </c>
      <c r="AA57" s="36">
        <f t="shared" si="22"/>
        <v>0.037</v>
      </c>
      <c r="AB57" s="36">
        <f t="shared" si="23"/>
        <v>42</v>
      </c>
      <c r="AC57" s="34">
        <f t="shared" si="24"/>
        <v>195</v>
      </c>
      <c r="AD57" s="88">
        <f t="shared" si="26"/>
        <v>0.76</v>
      </c>
      <c r="AE57" s="38" t="s">
        <v>41</v>
      </c>
      <c r="AF57" s="48"/>
      <c r="AG57" s="48"/>
      <c r="AH57" s="48"/>
      <c r="AI57" s="48"/>
      <c r="AJ57" s="48"/>
      <c r="AK57" s="48"/>
      <c r="AL57" s="48"/>
      <c r="AM57" s="48"/>
    </row>
    <row r="58">
      <c r="A58" s="24"/>
      <c r="B58" s="25" t="s">
        <v>42</v>
      </c>
      <c r="C58" s="26" t="s">
        <v>43</v>
      </c>
      <c r="D58" s="27">
        <f t="shared" si="14"/>
        <v>1.325</v>
      </c>
      <c r="E58" s="28">
        <f t="shared" si="15"/>
        <v>0.562</v>
      </c>
      <c r="F58" s="29">
        <f t="shared" si="16"/>
        <v>0.302</v>
      </c>
      <c r="G58" s="30">
        <f t="shared" si="17"/>
        <v>19</v>
      </c>
      <c r="H58" s="31">
        <f t="shared" si="18"/>
        <v>17</v>
      </c>
      <c r="I58" s="32">
        <f t="shared" si="19"/>
        <v>0.9</v>
      </c>
      <c r="J58" s="33">
        <v>44.0</v>
      </c>
      <c r="K58" s="33">
        <v>126.0</v>
      </c>
      <c r="L58" s="33">
        <v>37.0</v>
      </c>
      <c r="M58" s="33">
        <v>59.0</v>
      </c>
      <c r="N58" s="33">
        <v>14.0</v>
      </c>
      <c r="O58" s="33">
        <v>0.0</v>
      </c>
      <c r="P58" s="33">
        <v>8.0</v>
      </c>
      <c r="Q58" s="33">
        <v>41.0</v>
      </c>
      <c r="R58" s="33">
        <v>26.0</v>
      </c>
      <c r="S58" s="33">
        <v>29.0</v>
      </c>
      <c r="T58" s="33">
        <v>0.0</v>
      </c>
      <c r="U58" s="33">
        <v>1.0</v>
      </c>
      <c r="V58" s="33">
        <v>0.468</v>
      </c>
      <c r="W58" s="33">
        <v>0.555</v>
      </c>
      <c r="X58" s="33">
        <v>0.77</v>
      </c>
      <c r="Y58" s="34">
        <f t="shared" si="20"/>
        <v>97</v>
      </c>
      <c r="Z58" s="35">
        <f t="shared" si="21"/>
        <v>0.573</v>
      </c>
      <c r="AA58" s="36">
        <f t="shared" si="22"/>
        <v>0.105</v>
      </c>
      <c r="AB58" s="36">
        <f t="shared" si="23"/>
        <v>37</v>
      </c>
      <c r="AC58" s="34">
        <f t="shared" si="24"/>
        <v>152</v>
      </c>
      <c r="AD58" s="37">
        <f t="shared" si="26"/>
        <v>0</v>
      </c>
      <c r="AE58" s="38" t="s">
        <v>41</v>
      </c>
      <c r="AF58" s="39"/>
      <c r="AG58" s="39"/>
      <c r="AH58" s="39"/>
      <c r="AI58" s="39"/>
      <c r="AJ58" s="39"/>
      <c r="AK58" s="39"/>
      <c r="AL58" s="39"/>
      <c r="AM58" s="39"/>
    </row>
    <row r="59">
      <c r="A59" s="24"/>
      <c r="B59" s="25" t="s">
        <v>79</v>
      </c>
      <c r="C59" s="26" t="s">
        <v>80</v>
      </c>
      <c r="D59" s="133">
        <f t="shared" si="14"/>
        <v>1.118</v>
      </c>
      <c r="E59" s="134">
        <f t="shared" si="15"/>
        <v>0.473</v>
      </c>
      <c r="F59" s="135">
        <f t="shared" si="16"/>
        <v>0.298</v>
      </c>
      <c r="G59" s="65">
        <f t="shared" si="17"/>
        <v>14</v>
      </c>
      <c r="H59" s="120">
        <f t="shared" si="18"/>
        <v>8</v>
      </c>
      <c r="I59" s="136">
        <f t="shared" si="19"/>
        <v>0.57</v>
      </c>
      <c r="J59" s="33">
        <v>47.0</v>
      </c>
      <c r="K59" s="33">
        <v>148.0</v>
      </c>
      <c r="L59" s="33">
        <v>36.0</v>
      </c>
      <c r="M59" s="33">
        <v>56.0</v>
      </c>
      <c r="N59" s="33">
        <v>12.0</v>
      </c>
      <c r="O59" s="33">
        <v>1.0</v>
      </c>
      <c r="P59" s="33">
        <v>10.0</v>
      </c>
      <c r="Q59" s="33">
        <v>40.0</v>
      </c>
      <c r="R59" s="33">
        <v>13.0</v>
      </c>
      <c r="S59" s="33">
        <v>23.0</v>
      </c>
      <c r="T59" s="33">
        <v>0.0</v>
      </c>
      <c r="U59" s="33">
        <v>0.0</v>
      </c>
      <c r="V59" s="33">
        <v>0.378</v>
      </c>
      <c r="W59" s="33">
        <v>0.442</v>
      </c>
      <c r="X59" s="33">
        <v>0.676</v>
      </c>
      <c r="Y59" s="34">
        <f t="shared" si="20"/>
        <v>100</v>
      </c>
      <c r="Z59" s="35">
        <f t="shared" si="21"/>
        <v>0.4</v>
      </c>
      <c r="AA59" s="36">
        <f t="shared" si="22"/>
        <v>0.022</v>
      </c>
      <c r="AB59" s="36">
        <f t="shared" si="23"/>
        <v>33</v>
      </c>
      <c r="AC59" s="34">
        <f t="shared" si="24"/>
        <v>161</v>
      </c>
      <c r="AD59" s="103" t="s">
        <v>61</v>
      </c>
      <c r="AE59" s="38" t="s">
        <v>41</v>
      </c>
      <c r="AF59" s="48"/>
      <c r="AG59" s="48"/>
      <c r="AH59" s="48"/>
      <c r="AI59" s="48"/>
      <c r="AJ59" s="48"/>
      <c r="AK59" s="48"/>
      <c r="AL59" s="48"/>
      <c r="AM59" s="48"/>
    </row>
    <row r="60">
      <c r="A60" s="24"/>
      <c r="B60" s="40" t="s">
        <v>81</v>
      </c>
      <c r="C60" s="26" t="s">
        <v>82</v>
      </c>
      <c r="D60" s="137">
        <f t="shared" si="14"/>
        <v>1.102</v>
      </c>
      <c r="E60" s="134">
        <f t="shared" si="15"/>
        <v>0.473</v>
      </c>
      <c r="F60" s="135">
        <f t="shared" si="16"/>
        <v>0.298</v>
      </c>
      <c r="G60" s="124">
        <f t="shared" si="17"/>
        <v>24</v>
      </c>
      <c r="H60" s="138">
        <f t="shared" si="18"/>
        <v>19</v>
      </c>
      <c r="I60" s="139">
        <f t="shared" si="19"/>
        <v>0.79</v>
      </c>
      <c r="J60" s="33">
        <v>62.0</v>
      </c>
      <c r="K60" s="33">
        <v>205.0</v>
      </c>
      <c r="L60" s="33">
        <v>63.0</v>
      </c>
      <c r="M60" s="33">
        <v>70.0</v>
      </c>
      <c r="N60" s="33">
        <v>16.0</v>
      </c>
      <c r="O60" s="33">
        <v>0.0</v>
      </c>
      <c r="P60" s="33">
        <v>15.0</v>
      </c>
      <c r="Q60" s="33">
        <v>82.0</v>
      </c>
      <c r="R60" s="33">
        <v>48.0</v>
      </c>
      <c r="S60" s="33">
        <v>61.0</v>
      </c>
      <c r="T60" s="33">
        <v>0.0</v>
      </c>
      <c r="U60" s="33">
        <v>0.0</v>
      </c>
      <c r="V60" s="33">
        <v>0.341</v>
      </c>
      <c r="W60" s="33">
        <v>0.463</v>
      </c>
      <c r="X60" s="33">
        <v>0.639</v>
      </c>
      <c r="Y60" s="34">
        <f t="shared" si="20"/>
        <v>131</v>
      </c>
      <c r="Z60" s="35">
        <f t="shared" si="21"/>
        <v>0.426</v>
      </c>
      <c r="AA60" s="36">
        <f t="shared" si="22"/>
        <v>0.085</v>
      </c>
      <c r="AB60" s="36">
        <f t="shared" si="23"/>
        <v>39</v>
      </c>
      <c r="AC60" s="34">
        <f t="shared" si="24"/>
        <v>253</v>
      </c>
      <c r="AD60" s="103" t="s">
        <v>61</v>
      </c>
      <c r="AE60" s="38" t="s">
        <v>41</v>
      </c>
      <c r="AF60" s="48"/>
      <c r="AG60" s="48"/>
      <c r="AH60" s="48"/>
      <c r="AI60" s="48"/>
      <c r="AJ60" s="48"/>
      <c r="AK60" s="48"/>
      <c r="AL60" s="48"/>
      <c r="AM60" s="48"/>
    </row>
    <row r="6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A63" s="1"/>
      <c r="B63" s="3" t="s">
        <v>83</v>
      </c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A64" s="4"/>
      <c r="B64" s="5" t="s">
        <v>1</v>
      </c>
      <c r="C64" s="5" t="s">
        <v>2</v>
      </c>
      <c r="D64" s="6" t="s">
        <v>3</v>
      </c>
      <c r="E64" s="6" t="s">
        <v>4</v>
      </c>
      <c r="F64" s="6" t="s">
        <v>5</v>
      </c>
      <c r="G64" s="6" t="s">
        <v>6</v>
      </c>
      <c r="H64" s="6" t="s">
        <v>7</v>
      </c>
      <c r="I64" s="6" t="s">
        <v>8</v>
      </c>
      <c r="J64" s="5" t="s">
        <v>9</v>
      </c>
      <c r="K64" s="5" t="s">
        <v>10</v>
      </c>
      <c r="L64" s="5" t="s">
        <v>11</v>
      </c>
      <c r="M64" s="5" t="s">
        <v>12</v>
      </c>
      <c r="N64" s="5" t="s">
        <v>13</v>
      </c>
      <c r="O64" s="5" t="s">
        <v>14</v>
      </c>
      <c r="P64" s="5" t="s">
        <v>15</v>
      </c>
      <c r="Q64" s="5" t="s">
        <v>16</v>
      </c>
      <c r="R64" s="5" t="s">
        <v>17</v>
      </c>
      <c r="S64" s="5" t="s">
        <v>18</v>
      </c>
      <c r="T64" s="5" t="s">
        <v>19</v>
      </c>
      <c r="U64" s="5" t="s">
        <v>20</v>
      </c>
      <c r="V64" s="5" t="s">
        <v>21</v>
      </c>
      <c r="W64" s="5" t="s">
        <v>22</v>
      </c>
      <c r="X64" s="5" t="s">
        <v>23</v>
      </c>
      <c r="Y64" s="6" t="s">
        <v>24</v>
      </c>
      <c r="Z64" s="6" t="s">
        <v>25</v>
      </c>
      <c r="AA64" s="6" t="s">
        <v>26</v>
      </c>
      <c r="AB64" s="6" t="s">
        <v>27</v>
      </c>
      <c r="AC64" s="6" t="s">
        <v>28</v>
      </c>
      <c r="AD64" s="6" t="s">
        <v>29</v>
      </c>
      <c r="AE64" s="6" t="s">
        <v>30</v>
      </c>
      <c r="AF64" s="7" t="s">
        <v>31</v>
      </c>
      <c r="AG64" s="7" t="s">
        <v>32</v>
      </c>
      <c r="AH64" s="7" t="s">
        <v>33</v>
      </c>
      <c r="AI64" s="7" t="s">
        <v>34</v>
      </c>
      <c r="AJ64" s="7" t="s">
        <v>35</v>
      </c>
      <c r="AK64" s="7" t="s">
        <v>36</v>
      </c>
      <c r="AL64" s="7" t="s">
        <v>37</v>
      </c>
      <c r="AM64" s="7" t="s">
        <v>38</v>
      </c>
    </row>
    <row r="65">
      <c r="A65" s="24"/>
      <c r="B65" s="40" t="s">
        <v>84</v>
      </c>
      <c r="C65" s="26" t="s">
        <v>85</v>
      </c>
      <c r="D65" s="140">
        <f t="shared" ref="D65:D77" si="27">ROUND((W:W) + (X:X),3)</f>
        <v>0.917</v>
      </c>
      <c r="E65" s="141">
        <f t="shared" ref="E65:E77" si="28">ROUND((((0.69*(R:R)))+(0.722*(AF:AF))+(0.888*(AB:AB))+ (1.271*(N:N))+(1.616*(O:O))+(2.101*(P:P)))/(((K:K)+(R:R)+(AH:AH)+(AF:AF))), 3)</f>
        <v>0.408</v>
      </c>
      <c r="F65" s="142">
        <f t="shared" ref="F65:F77" si="29">X:X - V:V</f>
        <v>0.042</v>
      </c>
      <c r="G65" s="143">
        <f t="shared" ref="G65:G77" si="30">ROUND((S:S)/(AC:AC),2) * 100</f>
        <v>9</v>
      </c>
      <c r="H65" s="144">
        <f t="shared" ref="H65:H77" si="31">ROUND((R:R)/(AC:AC),2) * 100</f>
        <v>23</v>
      </c>
      <c r="I65" s="145">
        <f t="shared" ref="I65:I77" si="32">ROUND(R:R / S:S, 2)</f>
        <v>2.46</v>
      </c>
      <c r="J65" s="33">
        <v>58.0</v>
      </c>
      <c r="K65" s="33">
        <v>194.0</v>
      </c>
      <c r="L65" s="33">
        <v>68.0</v>
      </c>
      <c r="M65" s="33">
        <v>67.0</v>
      </c>
      <c r="N65" s="33">
        <v>4.0</v>
      </c>
      <c r="O65" s="33">
        <v>2.0</v>
      </c>
      <c r="P65" s="33">
        <v>0.0</v>
      </c>
      <c r="Q65" s="33">
        <v>23.0</v>
      </c>
      <c r="R65" s="33">
        <v>59.0</v>
      </c>
      <c r="S65" s="33">
        <v>24.0</v>
      </c>
      <c r="T65" s="33">
        <v>16.0</v>
      </c>
      <c r="U65" s="33">
        <v>3.0</v>
      </c>
      <c r="V65" s="33">
        <v>0.345</v>
      </c>
      <c r="W65" s="33">
        <v>0.53</v>
      </c>
      <c r="X65" s="33">
        <v>0.387</v>
      </c>
      <c r="Y65" s="34">
        <f t="shared" ref="Y65:Y77" si="33">AB65 + 2*N65 + 3*O65 + 4*P65</f>
        <v>75</v>
      </c>
      <c r="Z65" s="35">
        <f t="shared" ref="Z65:Z77" si="34">ROUND(((M:M)-(P:P))/((K:K)-(S:S)-(P:P)+(AH:AH)), 3)</f>
        <v>0.394</v>
      </c>
      <c r="AA65" s="36">
        <f t="shared" ref="AA65:AA77" si="35">Z:Z - V:V</f>
        <v>0.049</v>
      </c>
      <c r="AB65" s="36">
        <f t="shared" ref="AB65:AB77" si="36">(M:M)-(N:N)-(O:O)-(P:P)</f>
        <v>61</v>
      </c>
      <c r="AC65" s="34">
        <f t="shared" ref="AC65:AC77" si="37">K:K + R:R + AH:AH + AI:AI</f>
        <v>253</v>
      </c>
      <c r="AD65" s="146">
        <f t="shared" ref="AD65:AD77" si="38">ROUND((T:T)/(T:T + U:U), 2)</f>
        <v>0.84</v>
      </c>
      <c r="AE65" s="38" t="s">
        <v>41</v>
      </c>
      <c r="AF65" s="48"/>
      <c r="AG65" s="48"/>
      <c r="AH65" s="48"/>
      <c r="AI65" s="48"/>
      <c r="AJ65" s="48"/>
      <c r="AK65" s="48"/>
      <c r="AL65" s="48"/>
      <c r="AM65" s="48"/>
    </row>
    <row r="66">
      <c r="A66" s="24"/>
      <c r="B66" s="40" t="s">
        <v>86</v>
      </c>
      <c r="C66" s="26" t="s">
        <v>87</v>
      </c>
      <c r="D66" s="106">
        <f t="shared" si="27"/>
        <v>1.099</v>
      </c>
      <c r="E66" s="147">
        <f t="shared" si="28"/>
        <v>0.48</v>
      </c>
      <c r="F66" s="148">
        <f t="shared" si="29"/>
        <v>0.096</v>
      </c>
      <c r="G66" s="149">
        <f t="shared" si="30"/>
        <v>7</v>
      </c>
      <c r="H66" s="31">
        <f t="shared" si="31"/>
        <v>17</v>
      </c>
      <c r="I66" s="150">
        <f t="shared" si="32"/>
        <v>2.33</v>
      </c>
      <c r="J66" s="33">
        <v>47.0</v>
      </c>
      <c r="K66" s="33">
        <v>177.0</v>
      </c>
      <c r="L66" s="33">
        <v>55.0</v>
      </c>
      <c r="M66" s="33">
        <v>80.0</v>
      </c>
      <c r="N66" s="33">
        <v>10.0</v>
      </c>
      <c r="O66" s="33">
        <v>2.0</v>
      </c>
      <c r="P66" s="33">
        <v>1.0</v>
      </c>
      <c r="Q66" s="33">
        <v>22.0</v>
      </c>
      <c r="R66" s="33">
        <v>35.0</v>
      </c>
      <c r="S66" s="33">
        <v>15.0</v>
      </c>
      <c r="T66" s="33">
        <v>21.0</v>
      </c>
      <c r="U66" s="33">
        <v>3.0</v>
      </c>
      <c r="V66" s="33">
        <v>0.452</v>
      </c>
      <c r="W66" s="33">
        <v>0.551</v>
      </c>
      <c r="X66" s="33">
        <v>0.548</v>
      </c>
      <c r="Y66" s="34">
        <f t="shared" si="33"/>
        <v>97</v>
      </c>
      <c r="Z66" s="35">
        <f t="shared" si="34"/>
        <v>0.491</v>
      </c>
      <c r="AA66" s="36">
        <f t="shared" si="35"/>
        <v>0.039</v>
      </c>
      <c r="AB66" s="36">
        <f t="shared" si="36"/>
        <v>67</v>
      </c>
      <c r="AC66" s="34">
        <f t="shared" si="37"/>
        <v>212</v>
      </c>
      <c r="AD66" s="151">
        <f t="shared" si="38"/>
        <v>0.88</v>
      </c>
      <c r="AE66" s="38" t="s">
        <v>41</v>
      </c>
      <c r="AF66" s="39"/>
      <c r="AG66" s="39"/>
      <c r="AH66" s="39"/>
      <c r="AI66" s="39"/>
      <c r="AJ66" s="39"/>
      <c r="AK66" s="39"/>
      <c r="AL66" s="39"/>
      <c r="AM66" s="39"/>
    </row>
    <row r="67">
      <c r="A67" s="8"/>
      <c r="B67" s="152" t="s">
        <v>88</v>
      </c>
      <c r="C67" s="10" t="s">
        <v>89</v>
      </c>
      <c r="D67" s="153">
        <f t="shared" si="27"/>
        <v>0.849</v>
      </c>
      <c r="E67" s="154">
        <f t="shared" si="28"/>
        <v>0.378</v>
      </c>
      <c r="F67" s="155">
        <f t="shared" si="29"/>
        <v>0.053</v>
      </c>
      <c r="G67" s="156">
        <f t="shared" si="30"/>
        <v>7</v>
      </c>
      <c r="H67" s="157">
        <f t="shared" si="31"/>
        <v>17</v>
      </c>
      <c r="I67" s="156">
        <f t="shared" si="32"/>
        <v>2.67</v>
      </c>
      <c r="J67" s="17">
        <v>46.0</v>
      </c>
      <c r="K67" s="17">
        <v>152.0</v>
      </c>
      <c r="L67" s="17">
        <v>38.0</v>
      </c>
      <c r="M67" s="17">
        <v>50.0</v>
      </c>
      <c r="N67" s="17">
        <v>8.0</v>
      </c>
      <c r="O67" s="17">
        <v>0.0</v>
      </c>
      <c r="P67" s="17">
        <v>0.0</v>
      </c>
      <c r="Q67" s="17">
        <v>12.0</v>
      </c>
      <c r="R67" s="17">
        <v>32.0</v>
      </c>
      <c r="S67" s="17">
        <v>12.0</v>
      </c>
      <c r="T67" s="17">
        <v>21.0</v>
      </c>
      <c r="U67" s="17">
        <v>4.0</v>
      </c>
      <c r="V67" s="17">
        <v>0.329</v>
      </c>
      <c r="W67" s="17">
        <v>0.467</v>
      </c>
      <c r="X67" s="17">
        <v>0.382</v>
      </c>
      <c r="Y67" s="18">
        <f t="shared" si="33"/>
        <v>58</v>
      </c>
      <c r="Z67" s="19">
        <f t="shared" si="34"/>
        <v>0.357</v>
      </c>
      <c r="AA67" s="20">
        <f t="shared" si="35"/>
        <v>0.028</v>
      </c>
      <c r="AB67" s="20">
        <f t="shared" si="36"/>
        <v>42</v>
      </c>
      <c r="AC67" s="18">
        <f t="shared" si="37"/>
        <v>184</v>
      </c>
      <c r="AD67" s="158">
        <f t="shared" si="38"/>
        <v>0.84</v>
      </c>
      <c r="AE67" s="22" t="s">
        <v>41</v>
      </c>
      <c r="AF67" s="23"/>
      <c r="AG67" s="23"/>
      <c r="AH67" s="23"/>
      <c r="AI67" s="23"/>
      <c r="AJ67" s="23"/>
      <c r="AK67" s="23"/>
      <c r="AL67" s="23"/>
      <c r="AM67" s="23"/>
    </row>
    <row r="68">
      <c r="A68" s="24"/>
      <c r="B68" s="40" t="s">
        <v>90</v>
      </c>
      <c r="C68" s="26" t="s">
        <v>91</v>
      </c>
      <c r="D68" s="159">
        <f t="shared" si="27"/>
        <v>0.938</v>
      </c>
      <c r="E68" s="160">
        <f t="shared" si="28"/>
        <v>0.417</v>
      </c>
      <c r="F68" s="161">
        <f t="shared" si="29"/>
        <v>0.115</v>
      </c>
      <c r="G68" s="162">
        <f t="shared" si="30"/>
        <v>8</v>
      </c>
      <c r="H68" s="125">
        <f t="shared" si="31"/>
        <v>18</v>
      </c>
      <c r="I68" s="163">
        <f t="shared" si="32"/>
        <v>2.12</v>
      </c>
      <c r="J68" s="33">
        <v>52.0</v>
      </c>
      <c r="K68" s="33">
        <v>165.0</v>
      </c>
      <c r="L68" s="33">
        <v>41.0</v>
      </c>
      <c r="M68" s="33">
        <v>58.0</v>
      </c>
      <c r="N68" s="33">
        <v>10.0</v>
      </c>
      <c r="O68" s="33">
        <v>0.0</v>
      </c>
      <c r="P68" s="33">
        <v>3.0</v>
      </c>
      <c r="Q68" s="33">
        <v>33.0</v>
      </c>
      <c r="R68" s="33">
        <v>36.0</v>
      </c>
      <c r="S68" s="33">
        <v>17.0</v>
      </c>
      <c r="T68" s="33">
        <v>5.0</v>
      </c>
      <c r="U68" s="33">
        <v>3.0</v>
      </c>
      <c r="V68" s="33">
        <v>0.352</v>
      </c>
      <c r="W68" s="33">
        <v>0.471</v>
      </c>
      <c r="X68" s="33">
        <v>0.467</v>
      </c>
      <c r="Y68" s="34">
        <f t="shared" si="33"/>
        <v>77</v>
      </c>
      <c r="Z68" s="35">
        <f t="shared" si="34"/>
        <v>0.379</v>
      </c>
      <c r="AA68" s="36">
        <f t="shared" si="35"/>
        <v>0.027</v>
      </c>
      <c r="AB68" s="36">
        <f t="shared" si="36"/>
        <v>45</v>
      </c>
      <c r="AC68" s="34">
        <f t="shared" si="37"/>
        <v>201</v>
      </c>
      <c r="AD68" s="164">
        <f t="shared" si="38"/>
        <v>0.63</v>
      </c>
      <c r="AE68" s="38" t="s">
        <v>41</v>
      </c>
      <c r="AF68" s="48"/>
      <c r="AG68" s="48"/>
      <c r="AH68" s="48"/>
      <c r="AI68" s="48"/>
      <c r="AJ68" s="48"/>
      <c r="AK68" s="48"/>
      <c r="AL68" s="48"/>
      <c r="AM68" s="48"/>
    </row>
    <row r="69">
      <c r="A69" s="24"/>
      <c r="B69" s="25" t="s">
        <v>92</v>
      </c>
      <c r="C69" s="26" t="s">
        <v>93</v>
      </c>
      <c r="D69" s="165">
        <f t="shared" si="27"/>
        <v>1.1</v>
      </c>
      <c r="E69" s="166">
        <f t="shared" si="28"/>
        <v>0.471</v>
      </c>
      <c r="F69" s="167">
        <f t="shared" si="29"/>
        <v>0.281</v>
      </c>
      <c r="G69" s="143">
        <f t="shared" si="30"/>
        <v>9</v>
      </c>
      <c r="H69" s="66">
        <f t="shared" si="31"/>
        <v>14</v>
      </c>
      <c r="I69" s="168">
        <f t="shared" si="32"/>
        <v>1.67</v>
      </c>
      <c r="J69" s="33">
        <v>40.0</v>
      </c>
      <c r="K69" s="33">
        <v>121.0</v>
      </c>
      <c r="L69" s="33">
        <v>23.0</v>
      </c>
      <c r="M69" s="33">
        <v>44.0</v>
      </c>
      <c r="N69" s="33">
        <v>8.0</v>
      </c>
      <c r="O69" s="33">
        <v>1.0</v>
      </c>
      <c r="P69" s="33">
        <v>8.0</v>
      </c>
      <c r="Q69" s="33">
        <v>28.0</v>
      </c>
      <c r="R69" s="33">
        <v>20.0</v>
      </c>
      <c r="S69" s="33">
        <v>12.0</v>
      </c>
      <c r="T69" s="33">
        <v>4.0</v>
      </c>
      <c r="U69" s="33">
        <v>0.0</v>
      </c>
      <c r="V69" s="33">
        <v>0.364</v>
      </c>
      <c r="W69" s="33">
        <v>0.455</v>
      </c>
      <c r="X69" s="33">
        <v>0.645</v>
      </c>
      <c r="Y69" s="34">
        <f t="shared" si="33"/>
        <v>78</v>
      </c>
      <c r="Z69" s="35">
        <f t="shared" si="34"/>
        <v>0.356</v>
      </c>
      <c r="AA69" s="36">
        <f t="shared" si="35"/>
        <v>-0.008</v>
      </c>
      <c r="AB69" s="36">
        <f t="shared" si="36"/>
        <v>27</v>
      </c>
      <c r="AC69" s="34">
        <f t="shared" si="37"/>
        <v>141</v>
      </c>
      <c r="AD69" s="61">
        <f t="shared" si="38"/>
        <v>1</v>
      </c>
      <c r="AE69" s="38" t="s">
        <v>41</v>
      </c>
      <c r="AF69" s="48"/>
      <c r="AG69" s="48"/>
      <c r="AH69" s="48"/>
      <c r="AI69" s="48"/>
      <c r="AJ69" s="48"/>
      <c r="AK69" s="48"/>
      <c r="AL69" s="48"/>
      <c r="AM69" s="48"/>
    </row>
    <row r="70">
      <c r="A70" s="24"/>
      <c r="B70" s="25" t="s">
        <v>94</v>
      </c>
      <c r="C70" s="26" t="s">
        <v>66</v>
      </c>
      <c r="D70" s="169">
        <f t="shared" si="27"/>
        <v>0.958</v>
      </c>
      <c r="E70" s="170">
        <f t="shared" si="28"/>
        <v>0.428</v>
      </c>
      <c r="F70" s="171">
        <f t="shared" si="29"/>
        <v>0.086</v>
      </c>
      <c r="G70" s="45">
        <f t="shared" si="30"/>
        <v>11</v>
      </c>
      <c r="H70" s="52">
        <f t="shared" si="31"/>
        <v>21</v>
      </c>
      <c r="I70" s="172">
        <f t="shared" si="32"/>
        <v>1.95</v>
      </c>
      <c r="J70" s="33">
        <v>51.0</v>
      </c>
      <c r="K70" s="33">
        <v>151.0</v>
      </c>
      <c r="L70" s="33">
        <v>43.0</v>
      </c>
      <c r="M70" s="33">
        <v>55.0</v>
      </c>
      <c r="N70" s="33">
        <v>7.0</v>
      </c>
      <c r="O70" s="33">
        <v>0.0</v>
      </c>
      <c r="P70" s="33">
        <v>2.0</v>
      </c>
      <c r="Q70" s="33">
        <v>36.0</v>
      </c>
      <c r="R70" s="33">
        <v>41.0</v>
      </c>
      <c r="S70" s="33">
        <v>21.0</v>
      </c>
      <c r="T70" s="33">
        <v>6.0</v>
      </c>
      <c r="U70" s="33">
        <v>4.0</v>
      </c>
      <c r="V70" s="33">
        <v>0.364</v>
      </c>
      <c r="W70" s="33">
        <v>0.508</v>
      </c>
      <c r="X70" s="33">
        <v>0.45</v>
      </c>
      <c r="Y70" s="34">
        <f t="shared" si="33"/>
        <v>68</v>
      </c>
      <c r="Z70" s="35">
        <f t="shared" si="34"/>
        <v>0.414</v>
      </c>
      <c r="AA70" s="36">
        <f t="shared" si="35"/>
        <v>0.05</v>
      </c>
      <c r="AB70" s="36">
        <f t="shared" si="36"/>
        <v>46</v>
      </c>
      <c r="AC70" s="34">
        <f t="shared" si="37"/>
        <v>192</v>
      </c>
      <c r="AD70" s="68">
        <f t="shared" si="38"/>
        <v>0.6</v>
      </c>
      <c r="AE70" s="38" t="s">
        <v>41</v>
      </c>
      <c r="AF70" s="48"/>
      <c r="AG70" s="48"/>
      <c r="AH70" s="48"/>
      <c r="AI70" s="48"/>
      <c r="AJ70" s="48"/>
      <c r="AK70" s="48"/>
      <c r="AL70" s="48"/>
      <c r="AM70" s="48"/>
    </row>
    <row r="71">
      <c r="A71" s="24"/>
      <c r="B71" s="25" t="s">
        <v>95</v>
      </c>
      <c r="C71" s="26" t="s">
        <v>96</v>
      </c>
      <c r="D71" s="173">
        <f t="shared" si="27"/>
        <v>0.965</v>
      </c>
      <c r="E71" s="174">
        <f t="shared" si="28"/>
        <v>0.42</v>
      </c>
      <c r="F71" s="175">
        <f t="shared" si="29"/>
        <v>0.157</v>
      </c>
      <c r="G71" s="176">
        <f t="shared" si="30"/>
        <v>10</v>
      </c>
      <c r="H71" s="31">
        <f t="shared" si="31"/>
        <v>17</v>
      </c>
      <c r="I71" s="177">
        <f t="shared" si="32"/>
        <v>1.82</v>
      </c>
      <c r="J71" s="33">
        <v>49.0</v>
      </c>
      <c r="K71" s="33">
        <v>147.0</v>
      </c>
      <c r="L71" s="33">
        <v>48.0</v>
      </c>
      <c r="M71" s="33">
        <v>50.0</v>
      </c>
      <c r="N71" s="33">
        <v>7.0</v>
      </c>
      <c r="O71" s="33">
        <v>2.0</v>
      </c>
      <c r="P71" s="33">
        <v>4.0</v>
      </c>
      <c r="Q71" s="33">
        <v>33.0</v>
      </c>
      <c r="R71" s="33">
        <v>31.0</v>
      </c>
      <c r="S71" s="33">
        <v>17.0</v>
      </c>
      <c r="T71" s="33">
        <v>9.0</v>
      </c>
      <c r="U71" s="33">
        <v>1.0</v>
      </c>
      <c r="V71" s="33">
        <v>0.34</v>
      </c>
      <c r="W71" s="33">
        <v>0.468</v>
      </c>
      <c r="X71" s="33">
        <v>0.497</v>
      </c>
      <c r="Y71" s="34">
        <f t="shared" si="33"/>
        <v>73</v>
      </c>
      <c r="Z71" s="35">
        <f t="shared" si="34"/>
        <v>0.365</v>
      </c>
      <c r="AA71" s="36">
        <f t="shared" si="35"/>
        <v>0.025</v>
      </c>
      <c r="AB71" s="36">
        <f t="shared" si="36"/>
        <v>37</v>
      </c>
      <c r="AC71" s="34">
        <f t="shared" si="37"/>
        <v>178</v>
      </c>
      <c r="AD71" s="178">
        <f t="shared" si="38"/>
        <v>0.9</v>
      </c>
      <c r="AE71" s="38" t="s">
        <v>41</v>
      </c>
      <c r="AF71" s="48"/>
      <c r="AG71" s="48"/>
      <c r="AH71" s="48"/>
      <c r="AI71" s="48"/>
      <c r="AJ71" s="48"/>
      <c r="AK71" s="48"/>
      <c r="AL71" s="48"/>
      <c r="AM71" s="48"/>
    </row>
    <row r="72">
      <c r="A72" s="24"/>
      <c r="B72" s="40" t="s">
        <v>97</v>
      </c>
      <c r="C72" s="26" t="s">
        <v>98</v>
      </c>
      <c r="D72" s="179">
        <f t="shared" si="27"/>
        <v>0.909</v>
      </c>
      <c r="E72" s="180">
        <f t="shared" si="28"/>
        <v>0.394</v>
      </c>
      <c r="F72" s="181">
        <f t="shared" si="29"/>
        <v>0.135</v>
      </c>
      <c r="G72" s="176">
        <f t="shared" si="30"/>
        <v>10</v>
      </c>
      <c r="H72" s="31">
        <f t="shared" si="31"/>
        <v>17</v>
      </c>
      <c r="I72" s="168">
        <f t="shared" si="32"/>
        <v>1.67</v>
      </c>
      <c r="J72" s="33">
        <v>61.0</v>
      </c>
      <c r="K72" s="33">
        <v>193.0</v>
      </c>
      <c r="L72" s="33">
        <v>47.0</v>
      </c>
      <c r="M72" s="33">
        <v>61.0</v>
      </c>
      <c r="N72" s="33">
        <v>17.0</v>
      </c>
      <c r="O72" s="33">
        <v>0.0</v>
      </c>
      <c r="P72" s="33">
        <v>3.0</v>
      </c>
      <c r="Q72" s="33">
        <v>46.0</v>
      </c>
      <c r="R72" s="33">
        <v>40.0</v>
      </c>
      <c r="S72" s="33">
        <v>24.0</v>
      </c>
      <c r="T72" s="33">
        <v>1.0</v>
      </c>
      <c r="U72" s="33">
        <v>1.0</v>
      </c>
      <c r="V72" s="33">
        <v>0.316</v>
      </c>
      <c r="W72" s="33">
        <v>0.458</v>
      </c>
      <c r="X72" s="33">
        <v>0.451</v>
      </c>
      <c r="Y72" s="34">
        <f t="shared" si="33"/>
        <v>87</v>
      </c>
      <c r="Z72" s="35">
        <f t="shared" si="34"/>
        <v>0.349</v>
      </c>
      <c r="AA72" s="36">
        <f t="shared" si="35"/>
        <v>0.033</v>
      </c>
      <c r="AB72" s="36">
        <f t="shared" si="36"/>
        <v>41</v>
      </c>
      <c r="AC72" s="34">
        <f t="shared" si="37"/>
        <v>233</v>
      </c>
      <c r="AD72" s="182">
        <f t="shared" si="38"/>
        <v>0.5</v>
      </c>
      <c r="AE72" s="38" t="s">
        <v>41</v>
      </c>
      <c r="AF72" s="48"/>
      <c r="AG72" s="48"/>
      <c r="AH72" s="48"/>
      <c r="AI72" s="48"/>
      <c r="AJ72" s="48"/>
      <c r="AK72" s="48"/>
      <c r="AL72" s="48"/>
      <c r="AM72" s="48"/>
    </row>
    <row r="73">
      <c r="A73" s="24"/>
      <c r="B73" s="25" t="s">
        <v>99</v>
      </c>
      <c r="C73" s="26" t="s">
        <v>100</v>
      </c>
      <c r="D73" s="183">
        <f t="shared" si="27"/>
        <v>1.035</v>
      </c>
      <c r="E73" s="184">
        <f t="shared" si="28"/>
        <v>0.447</v>
      </c>
      <c r="F73" s="185">
        <f t="shared" si="29"/>
        <v>0.267</v>
      </c>
      <c r="G73" s="107">
        <f t="shared" si="30"/>
        <v>17</v>
      </c>
      <c r="H73" s="150">
        <f t="shared" si="31"/>
        <v>24</v>
      </c>
      <c r="I73" s="186">
        <f t="shared" si="32"/>
        <v>1.44</v>
      </c>
      <c r="J73" s="33">
        <v>48.0</v>
      </c>
      <c r="K73" s="33">
        <v>124.0</v>
      </c>
      <c r="L73" s="33">
        <v>36.0</v>
      </c>
      <c r="M73" s="33">
        <v>37.0</v>
      </c>
      <c r="N73" s="33">
        <v>7.0</v>
      </c>
      <c r="O73" s="33">
        <v>1.0</v>
      </c>
      <c r="P73" s="33">
        <v>8.0</v>
      </c>
      <c r="Q73" s="33">
        <v>25.0</v>
      </c>
      <c r="R73" s="33">
        <v>39.0</v>
      </c>
      <c r="S73" s="33">
        <v>27.0</v>
      </c>
      <c r="T73" s="33">
        <v>5.0</v>
      </c>
      <c r="U73" s="33">
        <v>2.0</v>
      </c>
      <c r="V73" s="33">
        <v>0.298</v>
      </c>
      <c r="W73" s="33">
        <v>0.47</v>
      </c>
      <c r="X73" s="33">
        <v>0.565</v>
      </c>
      <c r="Y73" s="34">
        <f t="shared" si="33"/>
        <v>70</v>
      </c>
      <c r="Z73" s="35">
        <f t="shared" si="34"/>
        <v>0.326</v>
      </c>
      <c r="AA73" s="36">
        <f t="shared" si="35"/>
        <v>0.028</v>
      </c>
      <c r="AB73" s="36">
        <f t="shared" si="36"/>
        <v>21</v>
      </c>
      <c r="AC73" s="34">
        <f t="shared" si="37"/>
        <v>163</v>
      </c>
      <c r="AD73" s="187">
        <f t="shared" si="38"/>
        <v>0.71</v>
      </c>
      <c r="AE73" s="38" t="s">
        <v>41</v>
      </c>
      <c r="AF73" s="48"/>
      <c r="AG73" s="48"/>
      <c r="AH73" s="48"/>
      <c r="AI73" s="48"/>
      <c r="AJ73" s="48"/>
      <c r="AK73" s="48"/>
      <c r="AL73" s="48"/>
      <c r="AM73" s="48"/>
    </row>
    <row r="74">
      <c r="A74" s="24"/>
      <c r="B74" s="25" t="s">
        <v>101</v>
      </c>
      <c r="C74" s="26" t="s">
        <v>102</v>
      </c>
      <c r="D74" s="188">
        <f t="shared" si="27"/>
        <v>0.987</v>
      </c>
      <c r="E74" s="189">
        <f t="shared" si="28"/>
        <v>0.433</v>
      </c>
      <c r="F74" s="190">
        <f t="shared" si="29"/>
        <v>0.147</v>
      </c>
      <c r="G74" s="107">
        <f t="shared" si="30"/>
        <v>17</v>
      </c>
      <c r="H74" s="52">
        <f t="shared" si="31"/>
        <v>21</v>
      </c>
      <c r="I74" s="191">
        <f t="shared" si="32"/>
        <v>1.28</v>
      </c>
      <c r="J74" s="33">
        <v>44.0</v>
      </c>
      <c r="K74" s="33">
        <v>136.0</v>
      </c>
      <c r="L74" s="33">
        <v>41.0</v>
      </c>
      <c r="M74" s="33">
        <v>47.0</v>
      </c>
      <c r="N74" s="33">
        <v>11.0</v>
      </c>
      <c r="O74" s="33">
        <v>3.0</v>
      </c>
      <c r="P74" s="33">
        <v>1.0</v>
      </c>
      <c r="Q74" s="33">
        <v>31.0</v>
      </c>
      <c r="R74" s="33">
        <v>37.0</v>
      </c>
      <c r="S74" s="33">
        <v>29.0</v>
      </c>
      <c r="T74" s="33">
        <v>5.0</v>
      </c>
      <c r="U74" s="33">
        <v>2.0</v>
      </c>
      <c r="V74" s="33">
        <v>0.346</v>
      </c>
      <c r="W74" s="33">
        <v>0.494</v>
      </c>
      <c r="X74" s="33">
        <v>0.493</v>
      </c>
      <c r="Y74" s="34">
        <f t="shared" si="33"/>
        <v>67</v>
      </c>
      <c r="Z74" s="35">
        <f t="shared" si="34"/>
        <v>0.434</v>
      </c>
      <c r="AA74" s="36">
        <f t="shared" si="35"/>
        <v>0.088</v>
      </c>
      <c r="AB74" s="36">
        <f t="shared" si="36"/>
        <v>32</v>
      </c>
      <c r="AC74" s="34">
        <f t="shared" si="37"/>
        <v>173</v>
      </c>
      <c r="AD74" s="187">
        <f t="shared" si="38"/>
        <v>0.71</v>
      </c>
      <c r="AE74" s="38" t="s">
        <v>41</v>
      </c>
      <c r="AF74" s="48"/>
      <c r="AG74" s="48"/>
      <c r="AH74" s="48"/>
      <c r="AI74" s="48"/>
      <c r="AJ74" s="48"/>
      <c r="AK74" s="48"/>
      <c r="AL74" s="48"/>
      <c r="AM74" s="48"/>
    </row>
    <row r="75">
      <c r="A75" s="24"/>
      <c r="B75" s="25" t="s">
        <v>65</v>
      </c>
      <c r="C75" s="26" t="s">
        <v>66</v>
      </c>
      <c r="D75" s="114">
        <f t="shared" si="27"/>
        <v>1.142</v>
      </c>
      <c r="E75" s="115">
        <f t="shared" si="28"/>
        <v>0.483</v>
      </c>
      <c r="F75" s="84">
        <f t="shared" si="29"/>
        <v>0.308</v>
      </c>
      <c r="G75" s="78">
        <f t="shared" si="30"/>
        <v>12</v>
      </c>
      <c r="H75" s="116">
        <f t="shared" si="31"/>
        <v>15</v>
      </c>
      <c r="I75" s="117">
        <f t="shared" si="32"/>
        <v>1.27</v>
      </c>
      <c r="J75" s="33">
        <v>52.0</v>
      </c>
      <c r="K75" s="33">
        <v>159.0</v>
      </c>
      <c r="L75" s="33">
        <v>44.0</v>
      </c>
      <c r="M75" s="33">
        <v>58.0</v>
      </c>
      <c r="N75" s="33">
        <v>13.0</v>
      </c>
      <c r="O75" s="33">
        <v>0.0</v>
      </c>
      <c r="P75" s="33">
        <v>12.0</v>
      </c>
      <c r="Q75" s="33">
        <v>52.0</v>
      </c>
      <c r="R75" s="33">
        <v>28.0</v>
      </c>
      <c r="S75" s="33">
        <v>22.0</v>
      </c>
      <c r="T75" s="33">
        <v>2.0</v>
      </c>
      <c r="U75" s="33">
        <v>0.0</v>
      </c>
      <c r="V75" s="33">
        <v>0.365</v>
      </c>
      <c r="W75" s="33">
        <v>0.469</v>
      </c>
      <c r="X75" s="33">
        <v>0.673</v>
      </c>
      <c r="Y75" s="34">
        <f t="shared" si="33"/>
        <v>107</v>
      </c>
      <c r="Z75" s="35">
        <f t="shared" si="34"/>
        <v>0.368</v>
      </c>
      <c r="AA75" s="36">
        <f t="shared" si="35"/>
        <v>0.003</v>
      </c>
      <c r="AB75" s="36">
        <f t="shared" si="36"/>
        <v>33</v>
      </c>
      <c r="AC75" s="34">
        <f t="shared" si="37"/>
        <v>187</v>
      </c>
      <c r="AD75" s="61">
        <f t="shared" si="38"/>
        <v>1</v>
      </c>
      <c r="AE75" s="38" t="s">
        <v>41</v>
      </c>
      <c r="AF75" s="48"/>
      <c r="AG75" s="48"/>
      <c r="AH75" s="48"/>
      <c r="AI75" s="48"/>
      <c r="AJ75" s="48"/>
      <c r="AK75" s="48"/>
      <c r="AL75" s="48"/>
      <c r="AM75" s="48"/>
    </row>
    <row r="76">
      <c r="A76" s="24"/>
      <c r="B76" s="40" t="s">
        <v>103</v>
      </c>
      <c r="C76" s="26" t="s">
        <v>104</v>
      </c>
      <c r="D76" s="192">
        <f t="shared" si="27"/>
        <v>1.06</v>
      </c>
      <c r="E76" s="193">
        <f t="shared" si="28"/>
        <v>0.45</v>
      </c>
      <c r="F76" s="194">
        <f t="shared" si="29"/>
        <v>0.16</v>
      </c>
      <c r="G76" s="176">
        <f t="shared" si="30"/>
        <v>10</v>
      </c>
      <c r="H76" s="97">
        <f t="shared" si="31"/>
        <v>12</v>
      </c>
      <c r="I76" s="195">
        <f t="shared" si="32"/>
        <v>1.19</v>
      </c>
      <c r="J76" s="33">
        <v>53.0</v>
      </c>
      <c r="K76" s="33">
        <v>181.0</v>
      </c>
      <c r="L76" s="33">
        <v>66.0</v>
      </c>
      <c r="M76" s="33">
        <v>72.0</v>
      </c>
      <c r="N76" s="33">
        <v>14.0</v>
      </c>
      <c r="O76" s="33">
        <v>0.0</v>
      </c>
      <c r="P76" s="33">
        <v>5.0</v>
      </c>
      <c r="Q76" s="33">
        <v>54.0</v>
      </c>
      <c r="R76" s="33">
        <v>25.0</v>
      </c>
      <c r="S76" s="33">
        <v>21.0</v>
      </c>
      <c r="T76" s="33">
        <v>4.0</v>
      </c>
      <c r="U76" s="33">
        <v>0.0</v>
      </c>
      <c r="V76" s="33">
        <v>0.398</v>
      </c>
      <c r="W76" s="33">
        <v>0.502</v>
      </c>
      <c r="X76" s="33">
        <v>0.558</v>
      </c>
      <c r="Y76" s="34">
        <f t="shared" si="33"/>
        <v>101</v>
      </c>
      <c r="Z76" s="35">
        <f t="shared" si="34"/>
        <v>0.432</v>
      </c>
      <c r="AA76" s="36">
        <f t="shared" si="35"/>
        <v>0.034</v>
      </c>
      <c r="AB76" s="36">
        <f t="shared" si="36"/>
        <v>53</v>
      </c>
      <c r="AC76" s="34">
        <f t="shared" si="37"/>
        <v>206</v>
      </c>
      <c r="AD76" s="61">
        <f t="shared" si="38"/>
        <v>1</v>
      </c>
      <c r="AE76" s="38" t="s">
        <v>41</v>
      </c>
      <c r="AF76" s="48"/>
      <c r="AG76" s="48"/>
      <c r="AH76" s="48"/>
      <c r="AI76" s="48"/>
      <c r="AJ76" s="48"/>
      <c r="AK76" s="48"/>
      <c r="AL76" s="48"/>
      <c r="AM76" s="48"/>
    </row>
    <row r="77">
      <c r="A77" s="24"/>
      <c r="B77" s="25" t="s">
        <v>105</v>
      </c>
      <c r="C77" s="26" t="s">
        <v>106</v>
      </c>
      <c r="D77" s="196">
        <f t="shared" si="27"/>
        <v>0.919</v>
      </c>
      <c r="E77" s="197">
        <f t="shared" si="28"/>
        <v>0.409</v>
      </c>
      <c r="F77" s="198">
        <f t="shared" si="29"/>
        <v>0.108</v>
      </c>
      <c r="G77" s="78">
        <f t="shared" si="30"/>
        <v>12</v>
      </c>
      <c r="H77" s="66">
        <f t="shared" si="31"/>
        <v>14</v>
      </c>
      <c r="I77" s="195">
        <f t="shared" si="32"/>
        <v>1.19</v>
      </c>
      <c r="J77" s="33">
        <v>47.0</v>
      </c>
      <c r="K77" s="33">
        <v>157.0</v>
      </c>
      <c r="L77" s="33">
        <v>42.0</v>
      </c>
      <c r="M77" s="33">
        <v>57.0</v>
      </c>
      <c r="N77" s="33">
        <v>7.0</v>
      </c>
      <c r="O77" s="33">
        <v>2.0</v>
      </c>
      <c r="P77" s="33">
        <v>2.0</v>
      </c>
      <c r="Q77" s="33">
        <v>37.0</v>
      </c>
      <c r="R77" s="33">
        <v>25.0</v>
      </c>
      <c r="S77" s="33">
        <v>21.0</v>
      </c>
      <c r="T77" s="33">
        <v>8.0</v>
      </c>
      <c r="U77" s="33">
        <v>2.0</v>
      </c>
      <c r="V77" s="33">
        <v>0.363</v>
      </c>
      <c r="W77" s="33">
        <v>0.448</v>
      </c>
      <c r="X77" s="33">
        <v>0.471</v>
      </c>
      <c r="Y77" s="34">
        <f t="shared" si="33"/>
        <v>74</v>
      </c>
      <c r="Z77" s="35">
        <f t="shared" si="34"/>
        <v>0.41</v>
      </c>
      <c r="AA77" s="36">
        <f t="shared" si="35"/>
        <v>0.047</v>
      </c>
      <c r="AB77" s="36">
        <f t="shared" si="36"/>
        <v>46</v>
      </c>
      <c r="AC77" s="34">
        <f t="shared" si="37"/>
        <v>182</v>
      </c>
      <c r="AD77" s="199">
        <f t="shared" si="38"/>
        <v>0.8</v>
      </c>
      <c r="AE77" s="38" t="s">
        <v>41</v>
      </c>
      <c r="AF77" s="48"/>
      <c r="AG77" s="48"/>
      <c r="AH77" s="48"/>
      <c r="AI77" s="48"/>
      <c r="AJ77" s="48"/>
      <c r="AK77" s="48"/>
      <c r="AL77" s="48"/>
      <c r="AM77" s="48"/>
    </row>
    <row r="78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3" t="s">
        <v>107</v>
      </c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200"/>
      <c r="B81" s="201" t="s">
        <v>1</v>
      </c>
      <c r="C81" s="201" t="s">
        <v>2</v>
      </c>
      <c r="D81" s="202" t="s">
        <v>3</v>
      </c>
      <c r="E81" s="202" t="s">
        <v>4</v>
      </c>
      <c r="F81" s="202" t="s">
        <v>5</v>
      </c>
      <c r="G81" s="202" t="s">
        <v>6</v>
      </c>
      <c r="H81" s="202" t="s">
        <v>7</v>
      </c>
      <c r="I81" s="202" t="s">
        <v>8</v>
      </c>
      <c r="J81" s="201" t="s">
        <v>9</v>
      </c>
      <c r="K81" s="201" t="s">
        <v>10</v>
      </c>
      <c r="L81" s="201" t="s">
        <v>11</v>
      </c>
      <c r="M81" s="201" t="s">
        <v>12</v>
      </c>
      <c r="N81" s="201" t="s">
        <v>13</v>
      </c>
      <c r="O81" s="201" t="s">
        <v>14</v>
      </c>
      <c r="P81" s="201" t="s">
        <v>15</v>
      </c>
      <c r="Q81" s="201" t="s">
        <v>16</v>
      </c>
      <c r="R81" s="201" t="s">
        <v>17</v>
      </c>
      <c r="S81" s="201" t="s">
        <v>18</v>
      </c>
      <c r="T81" s="201" t="s">
        <v>19</v>
      </c>
      <c r="U81" s="201" t="s">
        <v>20</v>
      </c>
      <c r="V81" s="201" t="s">
        <v>21</v>
      </c>
      <c r="W81" s="201" t="s">
        <v>22</v>
      </c>
      <c r="X81" s="201" t="s">
        <v>23</v>
      </c>
      <c r="Y81" s="202" t="s">
        <v>24</v>
      </c>
      <c r="Z81" s="202" t="s">
        <v>25</v>
      </c>
      <c r="AA81" s="202" t="s">
        <v>26</v>
      </c>
      <c r="AB81" s="202" t="s">
        <v>27</v>
      </c>
      <c r="AC81" s="202" t="s">
        <v>28</v>
      </c>
      <c r="AD81" s="202" t="s">
        <v>29</v>
      </c>
      <c r="AE81" s="6" t="s">
        <v>30</v>
      </c>
      <c r="AF81" s="7" t="s">
        <v>31</v>
      </c>
      <c r="AG81" s="7" t="s">
        <v>32</v>
      </c>
      <c r="AH81" s="7" t="s">
        <v>33</v>
      </c>
      <c r="AI81" s="7" t="s">
        <v>34</v>
      </c>
      <c r="AJ81" s="7" t="s">
        <v>35</v>
      </c>
      <c r="AK81" s="7" t="s">
        <v>36</v>
      </c>
      <c r="AL81" s="7" t="s">
        <v>37</v>
      </c>
      <c r="AM81" s="7" t="s">
        <v>38</v>
      </c>
    </row>
    <row r="82">
      <c r="A82" s="203"/>
      <c r="B82" s="204" t="s">
        <v>42</v>
      </c>
      <c r="C82" s="205" t="s">
        <v>43</v>
      </c>
      <c r="D82" s="206">
        <f t="shared" ref="D82:D94" si="39">ROUND((W:W) + (X:X),3)</f>
        <v>1.325</v>
      </c>
      <c r="E82" s="207">
        <f t="shared" ref="E82:E94" si="40">ROUND((((0.69*(R:R)))+(0.722*(AF:AF))+(0.888*(AB:AB))+ (1.271*(N:N))+(1.616*(O:O))+(2.101*(P:P)))/(((K:K)+(R:R)+(AH:AH)+(AF:AF))), 3)</f>
        <v>0.562</v>
      </c>
      <c r="F82" s="208">
        <f t="shared" ref="F82:F94" si="41">X:X - V:V</f>
        <v>0.302</v>
      </c>
      <c r="G82" s="209">
        <f t="shared" ref="G82:G94" si="42">ROUND((S:S)/(AC:AC),2) * 100</f>
        <v>19</v>
      </c>
      <c r="H82" s="210">
        <f t="shared" ref="H82:H94" si="43">ROUND((R:R)/(AC:AC),2) * 100</f>
        <v>17</v>
      </c>
      <c r="I82" s="211">
        <f t="shared" ref="I82:I94" si="44">ROUND(R:R / S:S, 2)</f>
        <v>0.9</v>
      </c>
      <c r="J82" s="212">
        <v>44.0</v>
      </c>
      <c r="K82" s="212">
        <v>126.0</v>
      </c>
      <c r="L82" s="212">
        <v>37.0</v>
      </c>
      <c r="M82" s="212">
        <v>59.0</v>
      </c>
      <c r="N82" s="212">
        <v>14.0</v>
      </c>
      <c r="O82" s="212">
        <v>0.0</v>
      </c>
      <c r="P82" s="212">
        <v>8.0</v>
      </c>
      <c r="Q82" s="212">
        <v>41.0</v>
      </c>
      <c r="R82" s="212">
        <v>26.0</v>
      </c>
      <c r="S82" s="212">
        <v>29.0</v>
      </c>
      <c r="T82" s="212">
        <v>0.0</v>
      </c>
      <c r="U82" s="212">
        <v>1.0</v>
      </c>
      <c r="V82" s="212">
        <v>0.468</v>
      </c>
      <c r="W82" s="212">
        <v>0.555</v>
      </c>
      <c r="X82" s="212">
        <v>0.77</v>
      </c>
      <c r="Y82" s="213">
        <f t="shared" ref="Y82:Y94" si="45">AB82 + 2*N82 + 3*O82 + 4*P82</f>
        <v>97</v>
      </c>
      <c r="Z82" s="214">
        <f t="shared" ref="Z82:Z94" si="46">ROUND(((M:M)-(P:P))/((K:K)-(S:S)-(P:P)+(AH:AH)), 3)</f>
        <v>0.573</v>
      </c>
      <c r="AA82" s="215">
        <f t="shared" ref="AA82:AA94" si="47">Z:Z - V:V</f>
        <v>0.105</v>
      </c>
      <c r="AB82" s="215">
        <f t="shared" ref="AB82:AB94" si="48">(M:M)-(N:N)-(O:O)-(P:P)</f>
        <v>37</v>
      </c>
      <c r="AC82" s="213">
        <f t="shared" ref="AC82:AC94" si="49">K:K + R:R + AH:AH + AI:AI</f>
        <v>152</v>
      </c>
      <c r="AD82" s="216">
        <f t="shared" ref="AD82:AD94" si="50">ROUND((T:T)/(T:T + U:U), 2)</f>
        <v>0</v>
      </c>
      <c r="AE82" s="22" t="s">
        <v>41</v>
      </c>
      <c r="AF82" s="217"/>
      <c r="AG82" s="217"/>
      <c r="AH82" s="217"/>
      <c r="AI82" s="217"/>
      <c r="AJ82" s="217"/>
      <c r="AK82" s="217"/>
      <c r="AL82" s="217"/>
      <c r="AM82" s="217"/>
    </row>
    <row r="83">
      <c r="A83" s="24"/>
      <c r="B83" s="40" t="s">
        <v>51</v>
      </c>
      <c r="C83" s="26" t="s">
        <v>52</v>
      </c>
      <c r="D83" s="69">
        <f t="shared" si="39"/>
        <v>1.267</v>
      </c>
      <c r="E83" s="70">
        <f t="shared" si="40"/>
        <v>0.539</v>
      </c>
      <c r="F83" s="71">
        <f t="shared" si="41"/>
        <v>0.36</v>
      </c>
      <c r="G83" s="72">
        <f t="shared" si="42"/>
        <v>16</v>
      </c>
      <c r="H83" s="73">
        <f t="shared" si="43"/>
        <v>7</v>
      </c>
      <c r="I83" s="74">
        <f t="shared" si="44"/>
        <v>0.45</v>
      </c>
      <c r="J83" s="33">
        <v>53.0</v>
      </c>
      <c r="K83" s="33">
        <v>183.0</v>
      </c>
      <c r="L83" s="33">
        <v>57.0</v>
      </c>
      <c r="M83" s="33">
        <v>79.0</v>
      </c>
      <c r="N83" s="33">
        <v>18.0</v>
      </c>
      <c r="O83" s="33">
        <v>0.0</v>
      </c>
      <c r="P83" s="33">
        <v>16.0</v>
      </c>
      <c r="Q83" s="33">
        <v>63.0</v>
      </c>
      <c r="R83" s="33">
        <v>14.0</v>
      </c>
      <c r="S83" s="33">
        <v>31.0</v>
      </c>
      <c r="T83" s="33">
        <v>1.0</v>
      </c>
      <c r="U83" s="33">
        <v>0.0</v>
      </c>
      <c r="V83" s="33">
        <v>0.432</v>
      </c>
      <c r="W83" s="33">
        <v>0.475</v>
      </c>
      <c r="X83" s="33">
        <v>0.792</v>
      </c>
      <c r="Y83" s="34">
        <f t="shared" si="45"/>
        <v>145</v>
      </c>
      <c r="Z83" s="35">
        <f t="shared" si="46"/>
        <v>0.463</v>
      </c>
      <c r="AA83" s="36">
        <f t="shared" si="47"/>
        <v>0.031</v>
      </c>
      <c r="AB83" s="36">
        <f t="shared" si="48"/>
        <v>45</v>
      </c>
      <c r="AC83" s="34">
        <f t="shared" si="49"/>
        <v>197</v>
      </c>
      <c r="AD83" s="61">
        <f t="shared" si="50"/>
        <v>1</v>
      </c>
      <c r="AE83" s="38" t="s">
        <v>41</v>
      </c>
      <c r="AF83" s="48"/>
      <c r="AG83" s="48"/>
      <c r="AH83" s="48"/>
      <c r="AI83" s="48"/>
      <c r="AJ83" s="48"/>
      <c r="AK83" s="48"/>
      <c r="AL83" s="48"/>
      <c r="AM83" s="48"/>
    </row>
    <row r="84">
      <c r="A84" s="24"/>
      <c r="B84" s="40" t="s">
        <v>44</v>
      </c>
      <c r="C84" s="41" t="s">
        <v>45</v>
      </c>
      <c r="D84" s="42">
        <f t="shared" si="39"/>
        <v>1.305</v>
      </c>
      <c r="E84" s="43">
        <f t="shared" si="40"/>
        <v>0.544</v>
      </c>
      <c r="F84" s="44">
        <f t="shared" si="41"/>
        <v>0.379</v>
      </c>
      <c r="G84" s="45">
        <f t="shared" si="42"/>
        <v>11</v>
      </c>
      <c r="H84" s="46">
        <f t="shared" si="43"/>
        <v>9</v>
      </c>
      <c r="I84" s="30">
        <f t="shared" si="44"/>
        <v>0.82</v>
      </c>
      <c r="J84" s="33">
        <v>55.0</v>
      </c>
      <c r="K84" s="33">
        <v>174.0</v>
      </c>
      <c r="L84" s="33">
        <v>54.0</v>
      </c>
      <c r="M84" s="33">
        <v>75.0</v>
      </c>
      <c r="N84" s="33">
        <v>21.0</v>
      </c>
      <c r="O84" s="33">
        <v>9.0</v>
      </c>
      <c r="P84" s="33">
        <v>9.0</v>
      </c>
      <c r="Q84" s="33">
        <v>48.0</v>
      </c>
      <c r="R84" s="33">
        <v>18.0</v>
      </c>
      <c r="S84" s="33">
        <v>22.0</v>
      </c>
      <c r="T84" s="33">
        <v>10.0</v>
      </c>
      <c r="U84" s="33">
        <v>2.0</v>
      </c>
      <c r="V84" s="33">
        <v>0.431</v>
      </c>
      <c r="W84" s="33">
        <v>0.495</v>
      </c>
      <c r="X84" s="33">
        <v>0.81</v>
      </c>
      <c r="Y84" s="34">
        <f t="shared" si="45"/>
        <v>141</v>
      </c>
      <c r="Z84" s="35">
        <f t="shared" si="46"/>
        <v>0.462</v>
      </c>
      <c r="AA84" s="36">
        <f t="shared" si="47"/>
        <v>0.031</v>
      </c>
      <c r="AB84" s="36">
        <f t="shared" si="48"/>
        <v>36</v>
      </c>
      <c r="AC84" s="34">
        <f t="shared" si="49"/>
        <v>192</v>
      </c>
      <c r="AD84" s="47">
        <f t="shared" si="50"/>
        <v>0.83</v>
      </c>
      <c r="AE84" s="38" t="s">
        <v>41</v>
      </c>
      <c r="AF84" s="48"/>
      <c r="AG84" s="48"/>
      <c r="AH84" s="48"/>
      <c r="AI84" s="48"/>
      <c r="AJ84" s="48"/>
      <c r="AK84" s="48"/>
      <c r="AL84" s="48"/>
      <c r="AM84" s="48"/>
    </row>
    <row r="85">
      <c r="A85" s="24"/>
      <c r="B85" s="40" t="s">
        <v>55</v>
      </c>
      <c r="C85" s="26" t="s">
        <v>56</v>
      </c>
      <c r="D85" s="82">
        <f t="shared" si="39"/>
        <v>1.216</v>
      </c>
      <c r="E85" s="83">
        <f t="shared" si="40"/>
        <v>0.512</v>
      </c>
      <c r="F85" s="84">
        <f t="shared" si="41"/>
        <v>0.307</v>
      </c>
      <c r="G85" s="85">
        <f t="shared" si="42"/>
        <v>13</v>
      </c>
      <c r="H85" s="86">
        <f t="shared" si="43"/>
        <v>11</v>
      </c>
      <c r="I85" s="87">
        <f t="shared" si="44"/>
        <v>0.88</v>
      </c>
      <c r="J85" s="33">
        <v>53.0</v>
      </c>
      <c r="K85" s="33">
        <v>173.0</v>
      </c>
      <c r="L85" s="33">
        <v>54.0</v>
      </c>
      <c r="M85" s="33">
        <v>72.0</v>
      </c>
      <c r="N85" s="33">
        <v>16.0</v>
      </c>
      <c r="O85" s="33">
        <v>5.0</v>
      </c>
      <c r="P85" s="33">
        <v>9.0</v>
      </c>
      <c r="Q85" s="33">
        <v>63.0</v>
      </c>
      <c r="R85" s="33">
        <v>22.0</v>
      </c>
      <c r="S85" s="33">
        <v>25.0</v>
      </c>
      <c r="T85" s="33">
        <v>13.0</v>
      </c>
      <c r="U85" s="33">
        <v>4.0</v>
      </c>
      <c r="V85" s="33">
        <v>0.416</v>
      </c>
      <c r="W85" s="33">
        <v>0.493</v>
      </c>
      <c r="X85" s="33">
        <v>0.723</v>
      </c>
      <c r="Y85" s="34">
        <f t="shared" si="45"/>
        <v>125</v>
      </c>
      <c r="Z85" s="35">
        <f t="shared" si="46"/>
        <v>0.453</v>
      </c>
      <c r="AA85" s="36">
        <f t="shared" si="47"/>
        <v>0.037</v>
      </c>
      <c r="AB85" s="36">
        <f t="shared" si="48"/>
        <v>42</v>
      </c>
      <c r="AC85" s="34">
        <f t="shared" si="49"/>
        <v>195</v>
      </c>
      <c r="AD85" s="88">
        <f t="shared" si="50"/>
        <v>0.76</v>
      </c>
      <c r="AE85" s="38" t="s">
        <v>41</v>
      </c>
      <c r="AF85" s="48"/>
      <c r="AG85" s="48"/>
      <c r="AH85" s="48"/>
      <c r="AI85" s="48"/>
      <c r="AJ85" s="48"/>
      <c r="AK85" s="48"/>
      <c r="AL85" s="48"/>
      <c r="AM85" s="48"/>
    </row>
    <row r="86">
      <c r="A86" s="24"/>
      <c r="B86" s="25" t="s">
        <v>53</v>
      </c>
      <c r="C86" s="26" t="s">
        <v>54</v>
      </c>
      <c r="D86" s="75">
        <f t="shared" si="39"/>
        <v>1.232</v>
      </c>
      <c r="E86" s="76">
        <f t="shared" si="40"/>
        <v>0.521</v>
      </c>
      <c r="F86" s="77">
        <f t="shared" si="41"/>
        <v>0.338</v>
      </c>
      <c r="G86" s="78">
        <f t="shared" si="42"/>
        <v>12</v>
      </c>
      <c r="H86" s="79">
        <f t="shared" si="43"/>
        <v>10</v>
      </c>
      <c r="I86" s="80">
        <f t="shared" si="44"/>
        <v>0.86</v>
      </c>
      <c r="J86" s="33">
        <v>44.0</v>
      </c>
      <c r="K86" s="33">
        <v>157.0</v>
      </c>
      <c r="L86" s="33">
        <v>42.0</v>
      </c>
      <c r="M86" s="33">
        <v>65.0</v>
      </c>
      <c r="N86" s="33">
        <v>8.0</v>
      </c>
      <c r="O86" s="33">
        <v>3.0</v>
      </c>
      <c r="P86" s="33">
        <v>13.0</v>
      </c>
      <c r="Q86" s="33">
        <v>62.0</v>
      </c>
      <c r="R86" s="33">
        <v>18.0</v>
      </c>
      <c r="S86" s="33">
        <v>21.0</v>
      </c>
      <c r="T86" s="33">
        <v>14.0</v>
      </c>
      <c r="U86" s="33">
        <v>1.0</v>
      </c>
      <c r="V86" s="33">
        <v>0.414</v>
      </c>
      <c r="W86" s="33">
        <v>0.48</v>
      </c>
      <c r="X86" s="33">
        <v>0.752</v>
      </c>
      <c r="Y86" s="34">
        <f t="shared" si="45"/>
        <v>118</v>
      </c>
      <c r="Z86" s="35">
        <f t="shared" si="46"/>
        <v>0.423</v>
      </c>
      <c r="AA86" s="36">
        <f t="shared" si="47"/>
        <v>0.009</v>
      </c>
      <c r="AB86" s="36">
        <f t="shared" si="48"/>
        <v>41</v>
      </c>
      <c r="AC86" s="34">
        <f t="shared" si="49"/>
        <v>175</v>
      </c>
      <c r="AD86" s="81">
        <f t="shared" si="50"/>
        <v>0.93</v>
      </c>
      <c r="AE86" s="38" t="s">
        <v>41</v>
      </c>
      <c r="AF86" s="48"/>
      <c r="AG86" s="48"/>
      <c r="AH86" s="48"/>
      <c r="AI86" s="48"/>
      <c r="AJ86" s="48"/>
      <c r="AK86" s="48"/>
      <c r="AL86" s="48"/>
      <c r="AM86" s="48"/>
    </row>
    <row r="87">
      <c r="A87" s="203"/>
      <c r="B87" s="218" t="s">
        <v>86</v>
      </c>
      <c r="C87" s="205" t="s">
        <v>87</v>
      </c>
      <c r="D87" s="219">
        <f t="shared" si="39"/>
        <v>1.099</v>
      </c>
      <c r="E87" s="220">
        <f t="shared" si="40"/>
        <v>0.48</v>
      </c>
      <c r="F87" s="221">
        <f t="shared" si="41"/>
        <v>0.096</v>
      </c>
      <c r="G87" s="222">
        <f t="shared" si="42"/>
        <v>7</v>
      </c>
      <c r="H87" s="210">
        <f t="shared" si="43"/>
        <v>17</v>
      </c>
      <c r="I87" s="223">
        <f t="shared" si="44"/>
        <v>2.33</v>
      </c>
      <c r="J87" s="212">
        <v>47.0</v>
      </c>
      <c r="K87" s="212">
        <v>177.0</v>
      </c>
      <c r="L87" s="212">
        <v>55.0</v>
      </c>
      <c r="M87" s="212">
        <v>80.0</v>
      </c>
      <c r="N87" s="212">
        <v>10.0</v>
      </c>
      <c r="O87" s="212">
        <v>2.0</v>
      </c>
      <c r="P87" s="212">
        <v>1.0</v>
      </c>
      <c r="Q87" s="212">
        <v>22.0</v>
      </c>
      <c r="R87" s="212">
        <v>35.0</v>
      </c>
      <c r="S87" s="212">
        <v>15.0</v>
      </c>
      <c r="T87" s="212">
        <v>21.0</v>
      </c>
      <c r="U87" s="212">
        <v>3.0</v>
      </c>
      <c r="V87" s="212">
        <v>0.452</v>
      </c>
      <c r="W87" s="212">
        <v>0.551</v>
      </c>
      <c r="X87" s="212">
        <v>0.548</v>
      </c>
      <c r="Y87" s="213">
        <f t="shared" si="45"/>
        <v>97</v>
      </c>
      <c r="Z87" s="214">
        <f t="shared" si="46"/>
        <v>0.491</v>
      </c>
      <c r="AA87" s="215">
        <f t="shared" si="47"/>
        <v>0.039</v>
      </c>
      <c r="AB87" s="215">
        <f t="shared" si="48"/>
        <v>67</v>
      </c>
      <c r="AC87" s="213">
        <f t="shared" si="49"/>
        <v>212</v>
      </c>
      <c r="AD87" s="224">
        <f t="shared" si="50"/>
        <v>0.88</v>
      </c>
      <c r="AE87" s="38" t="s">
        <v>41</v>
      </c>
      <c r="AF87" s="39"/>
      <c r="AG87" s="39"/>
      <c r="AH87" s="39"/>
      <c r="AI87" s="39"/>
      <c r="AJ87" s="39"/>
      <c r="AK87" s="39"/>
      <c r="AL87" s="39"/>
      <c r="AM87" s="39"/>
    </row>
    <row r="88">
      <c r="A88" s="24"/>
      <c r="B88" s="40" t="s">
        <v>58</v>
      </c>
      <c r="C88" s="26" t="s">
        <v>59</v>
      </c>
      <c r="D88" s="94">
        <f t="shared" si="39"/>
        <v>1.167</v>
      </c>
      <c r="E88" s="95">
        <f t="shared" si="40"/>
        <v>0.498</v>
      </c>
      <c r="F88" s="96">
        <f t="shared" si="41"/>
        <v>0.271</v>
      </c>
      <c r="G88" s="85">
        <f t="shared" si="42"/>
        <v>13</v>
      </c>
      <c r="H88" s="97">
        <f t="shared" si="43"/>
        <v>12</v>
      </c>
      <c r="I88" s="98">
        <f t="shared" si="44"/>
        <v>0.94</v>
      </c>
      <c r="J88" s="33">
        <v>63.0</v>
      </c>
      <c r="K88" s="33">
        <v>214.0</v>
      </c>
      <c r="L88" s="33">
        <v>59.0</v>
      </c>
      <c r="M88" s="33">
        <v>88.0</v>
      </c>
      <c r="N88" s="33">
        <v>20.0</v>
      </c>
      <c r="O88" s="33">
        <v>1.0</v>
      </c>
      <c r="P88" s="33">
        <v>12.0</v>
      </c>
      <c r="Q88" s="33">
        <v>73.0</v>
      </c>
      <c r="R88" s="33">
        <v>29.0</v>
      </c>
      <c r="S88" s="33">
        <v>31.0</v>
      </c>
      <c r="T88" s="33">
        <v>3.0</v>
      </c>
      <c r="U88" s="33">
        <v>0.0</v>
      </c>
      <c r="V88" s="33">
        <v>0.411</v>
      </c>
      <c r="W88" s="33">
        <v>0.485</v>
      </c>
      <c r="X88" s="33">
        <v>0.682</v>
      </c>
      <c r="Y88" s="34">
        <f t="shared" si="45"/>
        <v>146</v>
      </c>
      <c r="Z88" s="35">
        <f t="shared" si="46"/>
        <v>0.444</v>
      </c>
      <c r="AA88" s="36">
        <f t="shared" si="47"/>
        <v>0.033</v>
      </c>
      <c r="AB88" s="36">
        <f t="shared" si="48"/>
        <v>55</v>
      </c>
      <c r="AC88" s="34">
        <f t="shared" si="49"/>
        <v>243</v>
      </c>
      <c r="AD88" s="61">
        <f t="shared" si="50"/>
        <v>1</v>
      </c>
      <c r="AE88" s="38" t="s">
        <v>41</v>
      </c>
      <c r="AF88" s="48"/>
      <c r="AG88" s="48"/>
      <c r="AH88" s="48"/>
      <c r="AI88" s="48"/>
      <c r="AJ88" s="48"/>
      <c r="AK88" s="48"/>
      <c r="AL88" s="48"/>
      <c r="AM88" s="48"/>
    </row>
    <row r="89">
      <c r="A89" s="24"/>
      <c r="B89" s="40" t="s">
        <v>62</v>
      </c>
      <c r="C89" s="26" t="s">
        <v>63</v>
      </c>
      <c r="D89" s="104">
        <f t="shared" si="39"/>
        <v>1.159</v>
      </c>
      <c r="E89" s="105">
        <f t="shared" si="40"/>
        <v>0.494</v>
      </c>
      <c r="F89" s="106">
        <f t="shared" si="41"/>
        <v>0.252</v>
      </c>
      <c r="G89" s="107">
        <f t="shared" si="42"/>
        <v>17</v>
      </c>
      <c r="H89" s="66">
        <f t="shared" si="43"/>
        <v>14</v>
      </c>
      <c r="I89" s="80">
        <f t="shared" si="44"/>
        <v>0.86</v>
      </c>
      <c r="J89" s="33">
        <v>54.0</v>
      </c>
      <c r="K89" s="33">
        <v>186.0</v>
      </c>
      <c r="L89" s="33">
        <v>56.0</v>
      </c>
      <c r="M89" s="33">
        <v>76.0</v>
      </c>
      <c r="N89" s="33">
        <v>21.0</v>
      </c>
      <c r="O89" s="33">
        <v>4.0</v>
      </c>
      <c r="P89" s="33">
        <v>6.0</v>
      </c>
      <c r="Q89" s="33">
        <v>47.0</v>
      </c>
      <c r="R89" s="33">
        <v>31.0</v>
      </c>
      <c r="S89" s="33">
        <v>36.0</v>
      </c>
      <c r="T89" s="33">
        <v>3.0</v>
      </c>
      <c r="U89" s="33">
        <v>1.0</v>
      </c>
      <c r="V89" s="33">
        <v>0.409</v>
      </c>
      <c r="W89" s="33">
        <v>0.498</v>
      </c>
      <c r="X89" s="33">
        <v>0.661</v>
      </c>
      <c r="Y89" s="34">
        <f t="shared" si="45"/>
        <v>123</v>
      </c>
      <c r="Z89" s="35">
        <f t="shared" si="46"/>
        <v>0.486</v>
      </c>
      <c r="AA89" s="36">
        <f t="shared" si="47"/>
        <v>0.077</v>
      </c>
      <c r="AB89" s="36">
        <f t="shared" si="48"/>
        <v>45</v>
      </c>
      <c r="AC89" s="34">
        <f t="shared" si="49"/>
        <v>217</v>
      </c>
      <c r="AD89" s="108">
        <f t="shared" si="50"/>
        <v>0.75</v>
      </c>
      <c r="AE89" s="38" t="s">
        <v>41</v>
      </c>
      <c r="AF89" s="48"/>
      <c r="AG89" s="48"/>
      <c r="AH89" s="48"/>
      <c r="AI89" s="48"/>
      <c r="AJ89" s="48"/>
      <c r="AK89" s="48"/>
      <c r="AL89" s="48"/>
      <c r="AM89" s="48"/>
    </row>
    <row r="90">
      <c r="A90" s="24"/>
      <c r="B90" s="40" t="s">
        <v>103</v>
      </c>
      <c r="C90" s="26" t="s">
        <v>104</v>
      </c>
      <c r="D90" s="192">
        <f t="shared" si="39"/>
        <v>1.06</v>
      </c>
      <c r="E90" s="193">
        <f t="shared" si="40"/>
        <v>0.45</v>
      </c>
      <c r="F90" s="194">
        <f t="shared" si="41"/>
        <v>0.16</v>
      </c>
      <c r="G90" s="176">
        <f t="shared" si="42"/>
        <v>10</v>
      </c>
      <c r="H90" s="97">
        <f t="shared" si="43"/>
        <v>12</v>
      </c>
      <c r="I90" s="195">
        <f t="shared" si="44"/>
        <v>1.19</v>
      </c>
      <c r="J90" s="33">
        <v>53.0</v>
      </c>
      <c r="K90" s="33">
        <v>181.0</v>
      </c>
      <c r="L90" s="33">
        <v>66.0</v>
      </c>
      <c r="M90" s="33">
        <v>72.0</v>
      </c>
      <c r="N90" s="33">
        <v>14.0</v>
      </c>
      <c r="O90" s="33">
        <v>0.0</v>
      </c>
      <c r="P90" s="33">
        <v>5.0</v>
      </c>
      <c r="Q90" s="33">
        <v>54.0</v>
      </c>
      <c r="R90" s="33">
        <v>25.0</v>
      </c>
      <c r="S90" s="33">
        <v>21.0</v>
      </c>
      <c r="T90" s="33">
        <v>4.0</v>
      </c>
      <c r="U90" s="33">
        <v>0.0</v>
      </c>
      <c r="V90" s="33">
        <v>0.398</v>
      </c>
      <c r="W90" s="33">
        <v>0.502</v>
      </c>
      <c r="X90" s="33">
        <v>0.558</v>
      </c>
      <c r="Y90" s="34">
        <f t="shared" si="45"/>
        <v>101</v>
      </c>
      <c r="Z90" s="35">
        <f t="shared" si="46"/>
        <v>0.432</v>
      </c>
      <c r="AA90" s="36">
        <f t="shared" si="47"/>
        <v>0.034</v>
      </c>
      <c r="AB90" s="36">
        <f t="shared" si="48"/>
        <v>53</v>
      </c>
      <c r="AC90" s="34">
        <f t="shared" si="49"/>
        <v>206</v>
      </c>
      <c r="AD90" s="61">
        <f t="shared" si="50"/>
        <v>1</v>
      </c>
      <c r="AE90" s="38" t="s">
        <v>41</v>
      </c>
      <c r="AF90" s="48"/>
      <c r="AG90" s="48"/>
      <c r="AH90" s="48"/>
      <c r="AI90" s="48"/>
      <c r="AJ90" s="48"/>
      <c r="AK90" s="48"/>
      <c r="AL90" s="48"/>
      <c r="AM90" s="48"/>
    </row>
    <row r="91">
      <c r="A91" s="24"/>
      <c r="B91" s="40" t="s">
        <v>108</v>
      </c>
      <c r="C91" s="26" t="s">
        <v>109</v>
      </c>
      <c r="D91" s="183">
        <f t="shared" si="39"/>
        <v>1.035</v>
      </c>
      <c r="E91" s="225">
        <f t="shared" si="40"/>
        <v>0.44</v>
      </c>
      <c r="F91" s="194">
        <f t="shared" si="41"/>
        <v>0.16</v>
      </c>
      <c r="G91" s="143">
        <f t="shared" si="42"/>
        <v>9</v>
      </c>
      <c r="H91" s="46">
        <f t="shared" si="43"/>
        <v>9</v>
      </c>
      <c r="I91" s="226">
        <f t="shared" si="44"/>
        <v>1.06</v>
      </c>
      <c r="J91" s="33">
        <v>53.0</v>
      </c>
      <c r="K91" s="33">
        <v>174.0</v>
      </c>
      <c r="L91" s="33">
        <v>52.0</v>
      </c>
      <c r="M91" s="33">
        <v>69.0</v>
      </c>
      <c r="N91" s="33">
        <v>8.0</v>
      </c>
      <c r="O91" s="33">
        <v>4.0</v>
      </c>
      <c r="P91" s="33">
        <v>4.0</v>
      </c>
      <c r="Q91" s="33">
        <v>33.0</v>
      </c>
      <c r="R91" s="33">
        <v>18.0</v>
      </c>
      <c r="S91" s="33">
        <v>17.0</v>
      </c>
      <c r="T91" s="33">
        <v>27.0</v>
      </c>
      <c r="U91" s="33">
        <v>2.0</v>
      </c>
      <c r="V91" s="33">
        <v>0.397</v>
      </c>
      <c r="W91" s="33">
        <v>0.478</v>
      </c>
      <c r="X91" s="33">
        <v>0.557</v>
      </c>
      <c r="Y91" s="34">
        <f t="shared" si="45"/>
        <v>97</v>
      </c>
      <c r="Z91" s="35">
        <f t="shared" si="46"/>
        <v>0.425</v>
      </c>
      <c r="AA91" s="36">
        <f t="shared" si="47"/>
        <v>0.028</v>
      </c>
      <c r="AB91" s="36">
        <f t="shared" si="48"/>
        <v>53</v>
      </c>
      <c r="AC91" s="34">
        <f t="shared" si="49"/>
        <v>192</v>
      </c>
      <c r="AD91" s="81">
        <f t="shared" si="50"/>
        <v>0.93</v>
      </c>
      <c r="AE91" s="38" t="s">
        <v>41</v>
      </c>
      <c r="AF91" s="48"/>
      <c r="AG91" s="48"/>
      <c r="AH91" s="48"/>
      <c r="AI91" s="48"/>
      <c r="AJ91" s="48"/>
      <c r="AK91" s="48"/>
      <c r="AL91" s="48"/>
      <c r="AM91" s="48"/>
    </row>
    <row r="92">
      <c r="A92" s="24"/>
      <c r="B92" s="40" t="s">
        <v>48</v>
      </c>
      <c r="C92" s="26" t="s">
        <v>49</v>
      </c>
      <c r="D92" s="55">
        <f t="shared" si="39"/>
        <v>1.284</v>
      </c>
      <c r="E92" s="56">
        <f t="shared" si="40"/>
        <v>0.537</v>
      </c>
      <c r="F92" s="57">
        <f t="shared" si="41"/>
        <v>0.413</v>
      </c>
      <c r="G92" s="58">
        <f t="shared" si="42"/>
        <v>22</v>
      </c>
      <c r="H92" s="59">
        <f t="shared" si="43"/>
        <v>13</v>
      </c>
      <c r="I92" s="60">
        <f t="shared" si="44"/>
        <v>0.6</v>
      </c>
      <c r="J92" s="33">
        <v>61.0</v>
      </c>
      <c r="K92" s="33">
        <v>211.0</v>
      </c>
      <c r="L92" s="33">
        <v>69.0</v>
      </c>
      <c r="M92" s="33">
        <v>83.0</v>
      </c>
      <c r="N92" s="33">
        <v>21.0</v>
      </c>
      <c r="O92" s="33">
        <v>0.0</v>
      </c>
      <c r="P92" s="33">
        <v>22.0</v>
      </c>
      <c r="Q92" s="33">
        <v>63.0</v>
      </c>
      <c r="R92" s="33">
        <v>32.0</v>
      </c>
      <c r="S92" s="33">
        <v>53.0</v>
      </c>
      <c r="T92" s="33">
        <v>1.0</v>
      </c>
      <c r="U92" s="33">
        <v>0.0</v>
      </c>
      <c r="V92" s="33">
        <v>0.393</v>
      </c>
      <c r="W92" s="33">
        <v>0.478</v>
      </c>
      <c r="X92" s="33">
        <v>0.806</v>
      </c>
      <c r="Y92" s="34">
        <f t="shared" si="45"/>
        <v>170</v>
      </c>
      <c r="Z92" s="35">
        <f t="shared" si="46"/>
        <v>0.449</v>
      </c>
      <c r="AA92" s="36">
        <f t="shared" si="47"/>
        <v>0.056</v>
      </c>
      <c r="AB92" s="36">
        <f t="shared" si="48"/>
        <v>40</v>
      </c>
      <c r="AC92" s="34">
        <f t="shared" si="49"/>
        <v>243</v>
      </c>
      <c r="AD92" s="61">
        <f t="shared" si="50"/>
        <v>1</v>
      </c>
      <c r="AE92" s="38" t="s">
        <v>41</v>
      </c>
      <c r="AF92" s="48"/>
      <c r="AG92" s="48"/>
      <c r="AH92" s="48"/>
      <c r="AI92" s="48"/>
      <c r="AJ92" s="48"/>
      <c r="AK92" s="48"/>
      <c r="AL92" s="48"/>
      <c r="AM92" s="48"/>
    </row>
    <row r="93">
      <c r="A93" s="24"/>
      <c r="B93" s="25" t="s">
        <v>57</v>
      </c>
      <c r="C93" s="41" t="s">
        <v>45</v>
      </c>
      <c r="D93" s="89">
        <f t="shared" si="39"/>
        <v>1.198</v>
      </c>
      <c r="E93" s="90">
        <f t="shared" si="40"/>
        <v>0.502</v>
      </c>
      <c r="F93" s="91">
        <f t="shared" si="41"/>
        <v>0.32</v>
      </c>
      <c r="G93" s="92">
        <f t="shared" si="42"/>
        <v>30</v>
      </c>
      <c r="H93" s="59">
        <f t="shared" si="43"/>
        <v>13</v>
      </c>
      <c r="I93" s="93">
        <f t="shared" si="44"/>
        <v>0.44</v>
      </c>
      <c r="J93" s="33">
        <v>53.0</v>
      </c>
      <c r="K93" s="33">
        <v>125.0</v>
      </c>
      <c r="L93" s="33">
        <v>42.0</v>
      </c>
      <c r="M93" s="33">
        <v>49.0</v>
      </c>
      <c r="N93" s="33">
        <v>10.0</v>
      </c>
      <c r="O93" s="33">
        <v>3.0</v>
      </c>
      <c r="P93" s="33">
        <v>8.0</v>
      </c>
      <c r="Q93" s="33">
        <v>36.0</v>
      </c>
      <c r="R93" s="33">
        <v>19.0</v>
      </c>
      <c r="S93" s="33">
        <v>43.0</v>
      </c>
      <c r="T93" s="33">
        <v>9.0</v>
      </c>
      <c r="U93" s="33">
        <v>0.0</v>
      </c>
      <c r="V93" s="33">
        <v>0.392</v>
      </c>
      <c r="W93" s="33">
        <v>0.486</v>
      </c>
      <c r="X93" s="33">
        <v>0.712</v>
      </c>
      <c r="Y93" s="34">
        <f t="shared" si="45"/>
        <v>89</v>
      </c>
      <c r="Z93" s="35">
        <f t="shared" si="46"/>
        <v>0.554</v>
      </c>
      <c r="AA93" s="36">
        <f t="shared" si="47"/>
        <v>0.162</v>
      </c>
      <c r="AB93" s="36">
        <f t="shared" si="48"/>
        <v>28</v>
      </c>
      <c r="AC93" s="34">
        <f t="shared" si="49"/>
        <v>144</v>
      </c>
      <c r="AD93" s="61">
        <f t="shared" si="50"/>
        <v>1</v>
      </c>
      <c r="AE93" s="38" t="s">
        <v>41</v>
      </c>
      <c r="AF93" s="48"/>
      <c r="AG93" s="48"/>
      <c r="AH93" s="48"/>
      <c r="AI93" s="48"/>
      <c r="AJ93" s="48"/>
      <c r="AK93" s="48"/>
      <c r="AL93" s="48"/>
      <c r="AM93" s="48"/>
    </row>
    <row r="94">
      <c r="A94" s="24"/>
      <c r="B94" s="40" t="s">
        <v>46</v>
      </c>
      <c r="C94" s="26" t="s">
        <v>47</v>
      </c>
      <c r="D94" s="49">
        <f t="shared" si="39"/>
        <v>1.291</v>
      </c>
      <c r="E94" s="50">
        <f t="shared" si="40"/>
        <v>0.53</v>
      </c>
      <c r="F94" s="49">
        <f t="shared" si="41"/>
        <v>0.37</v>
      </c>
      <c r="G94" s="51">
        <f t="shared" si="42"/>
        <v>23</v>
      </c>
      <c r="H94" s="52">
        <f t="shared" si="43"/>
        <v>21</v>
      </c>
      <c r="I94" s="53">
        <f t="shared" si="44"/>
        <v>0.91</v>
      </c>
      <c r="J94" s="33">
        <v>59.0</v>
      </c>
      <c r="K94" s="33">
        <v>162.0</v>
      </c>
      <c r="L94" s="33">
        <v>76.0</v>
      </c>
      <c r="M94" s="33">
        <v>62.0</v>
      </c>
      <c r="N94" s="33">
        <v>12.0</v>
      </c>
      <c r="O94" s="33">
        <v>0.0</v>
      </c>
      <c r="P94" s="33">
        <v>16.0</v>
      </c>
      <c r="Q94" s="33">
        <v>55.0</v>
      </c>
      <c r="R94" s="33">
        <v>43.0</v>
      </c>
      <c r="S94" s="33">
        <v>47.0</v>
      </c>
      <c r="T94" s="33">
        <v>7.0</v>
      </c>
      <c r="U94" s="33">
        <v>3.0</v>
      </c>
      <c r="V94" s="33">
        <v>0.383</v>
      </c>
      <c r="W94" s="33">
        <v>0.538</v>
      </c>
      <c r="X94" s="33">
        <v>0.753</v>
      </c>
      <c r="Y94" s="34">
        <f t="shared" si="45"/>
        <v>122</v>
      </c>
      <c r="Z94" s="35">
        <f t="shared" si="46"/>
        <v>0.465</v>
      </c>
      <c r="AA94" s="36">
        <f t="shared" si="47"/>
        <v>0.082</v>
      </c>
      <c r="AB94" s="36">
        <f t="shared" si="48"/>
        <v>34</v>
      </c>
      <c r="AC94" s="34">
        <f t="shared" si="49"/>
        <v>205</v>
      </c>
      <c r="AD94" s="54">
        <f t="shared" si="50"/>
        <v>0.7</v>
      </c>
      <c r="AE94" s="38" t="s">
        <v>41</v>
      </c>
      <c r="AF94" s="39"/>
      <c r="AG94" s="39"/>
      <c r="AH94" s="39"/>
      <c r="AI94" s="39"/>
      <c r="AJ94" s="39"/>
      <c r="AK94" s="39"/>
      <c r="AL94" s="39"/>
      <c r="AM94" s="39"/>
    </row>
    <row r="95">
      <c r="A95" s="1"/>
      <c r="B95" s="128" t="s">
        <v>110</v>
      </c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227" t="s">
        <v>111</v>
      </c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9">
      <c r="A99" s="1"/>
      <c r="B99" s="3" t="s">
        <v>112</v>
      </c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4"/>
      <c r="B100" s="5" t="s">
        <v>1</v>
      </c>
      <c r="C100" s="5" t="s">
        <v>2</v>
      </c>
      <c r="D100" s="6" t="s">
        <v>3</v>
      </c>
      <c r="E100" s="6" t="s">
        <v>4</v>
      </c>
      <c r="F100" s="6" t="s">
        <v>5</v>
      </c>
      <c r="G100" s="6" t="s">
        <v>6</v>
      </c>
      <c r="H100" s="6" t="s">
        <v>7</v>
      </c>
      <c r="I100" s="6" t="s">
        <v>8</v>
      </c>
      <c r="J100" s="5" t="s">
        <v>9</v>
      </c>
      <c r="K100" s="5" t="s">
        <v>10</v>
      </c>
      <c r="L100" s="5" t="s">
        <v>11</v>
      </c>
      <c r="M100" s="5" t="s">
        <v>12</v>
      </c>
      <c r="N100" s="5" t="s">
        <v>13</v>
      </c>
      <c r="O100" s="5" t="s">
        <v>14</v>
      </c>
      <c r="P100" s="5" t="s">
        <v>15</v>
      </c>
      <c r="Q100" s="5" t="s">
        <v>16</v>
      </c>
      <c r="R100" s="5" t="s">
        <v>17</v>
      </c>
      <c r="S100" s="5" t="s">
        <v>18</v>
      </c>
      <c r="T100" s="5" t="s">
        <v>19</v>
      </c>
      <c r="U100" s="5" t="s">
        <v>20</v>
      </c>
      <c r="V100" s="5" t="s">
        <v>21</v>
      </c>
      <c r="W100" s="5" t="s">
        <v>22</v>
      </c>
      <c r="X100" s="5" t="s">
        <v>23</v>
      </c>
      <c r="Y100" s="6" t="s">
        <v>24</v>
      </c>
      <c r="Z100" s="6" t="s">
        <v>25</v>
      </c>
      <c r="AA100" s="6" t="s">
        <v>26</v>
      </c>
      <c r="AB100" s="6" t="s">
        <v>27</v>
      </c>
      <c r="AC100" s="6" t="s">
        <v>28</v>
      </c>
      <c r="AD100" s="6" t="s">
        <v>29</v>
      </c>
      <c r="AE100" s="6" t="s">
        <v>30</v>
      </c>
      <c r="AF100" s="7" t="s">
        <v>31</v>
      </c>
      <c r="AG100" s="7" t="s">
        <v>32</v>
      </c>
      <c r="AH100" s="7" t="s">
        <v>33</v>
      </c>
      <c r="AI100" s="7" t="s">
        <v>34</v>
      </c>
      <c r="AJ100" s="7" t="s">
        <v>35</v>
      </c>
      <c r="AK100" s="7" t="s">
        <v>36</v>
      </c>
      <c r="AL100" s="7" t="s">
        <v>37</v>
      </c>
      <c r="AM100" s="7" t="s">
        <v>38</v>
      </c>
    </row>
    <row r="101">
      <c r="A101" s="8">
        <v>9.0</v>
      </c>
      <c r="B101" s="152" t="s">
        <v>42</v>
      </c>
      <c r="C101" s="10" t="s">
        <v>43</v>
      </c>
      <c r="D101" s="228">
        <f t="shared" ref="D101:D115" si="51">ROUND((W:W) + (X:X),3)</f>
        <v>1.325</v>
      </c>
      <c r="E101" s="229">
        <f t="shared" ref="E101:E115" si="52">ROUND((((0.69*(R:R)))+(0.722*(AF:AF))+(0.888*(AB:AB))+ (1.271*(N:N))+(1.616*(O:O))+(2.101*(P:P)))/(((K:K)+(R:R)+(AH:AH)+(AF:AF))), 3)</f>
        <v>0.562</v>
      </c>
      <c r="F101" s="230">
        <f t="shared" ref="F101:F115" si="53">X:X - V:V</f>
        <v>0.302</v>
      </c>
      <c r="G101" s="231">
        <f t="shared" ref="G101:G115" si="54">ROUND((S:S)/(AC:AC),2) * 100</f>
        <v>19</v>
      </c>
      <c r="H101" s="157">
        <f t="shared" ref="H101:H115" si="55">ROUND((R:R)/(AC:AC),2) * 100</f>
        <v>17</v>
      </c>
      <c r="I101" s="232">
        <f t="shared" ref="I101:I115" si="56">ROUND(R:R / S:S, 2)</f>
        <v>0.9</v>
      </c>
      <c r="J101" s="17">
        <v>44.0</v>
      </c>
      <c r="K101" s="17">
        <v>126.0</v>
      </c>
      <c r="L101" s="17">
        <v>37.0</v>
      </c>
      <c r="M101" s="17">
        <v>59.0</v>
      </c>
      <c r="N101" s="17">
        <v>14.0</v>
      </c>
      <c r="O101" s="17">
        <v>0.0</v>
      </c>
      <c r="P101" s="17">
        <v>8.0</v>
      </c>
      <c r="Q101" s="17">
        <v>41.0</v>
      </c>
      <c r="R101" s="17">
        <v>26.0</v>
      </c>
      <c r="S101" s="17">
        <v>29.0</v>
      </c>
      <c r="T101" s="17">
        <v>0.0</v>
      </c>
      <c r="U101" s="17">
        <v>1.0</v>
      </c>
      <c r="V101" s="17">
        <v>0.468</v>
      </c>
      <c r="W101" s="17">
        <v>0.555</v>
      </c>
      <c r="X101" s="17">
        <v>0.77</v>
      </c>
      <c r="Y101" s="18">
        <f t="shared" ref="Y101:Y115" si="57">AB101 + 2*N101 + 3*O101 + 4*P101</f>
        <v>97</v>
      </c>
      <c r="Z101" s="19">
        <f t="shared" ref="Z101:Z115" si="58">ROUND(((M:M)-(P:P))/((K:K)-(S:S)-(P:P)+(AH:AH)), 3)</f>
        <v>0.573</v>
      </c>
      <c r="AA101" s="20">
        <f t="shared" ref="AA101:AA115" si="59">Z:Z - V:V</f>
        <v>0.105</v>
      </c>
      <c r="AB101" s="20">
        <f t="shared" ref="AB101:AB115" si="60">(M:M)-(N:N)-(O:O)-(P:P)</f>
        <v>37</v>
      </c>
      <c r="AC101" s="18">
        <f t="shared" ref="AC101:AC115" si="61">K:K + R:R + AH:AH + AI:AI</f>
        <v>152</v>
      </c>
      <c r="AD101" s="233">
        <f t="shared" ref="AD101:AD115" si="62">ROUND((T:T)/(T:T + U:U), 2)</f>
        <v>0</v>
      </c>
      <c r="AE101" s="22" t="s">
        <v>41</v>
      </c>
      <c r="AF101" s="217"/>
      <c r="AG101" s="217"/>
      <c r="AH101" s="217"/>
      <c r="AI101" s="217"/>
      <c r="AJ101" s="217"/>
      <c r="AK101" s="217"/>
      <c r="AL101" s="217"/>
      <c r="AM101" s="217"/>
    </row>
    <row r="102">
      <c r="A102" s="24">
        <v>13.0</v>
      </c>
      <c r="B102" s="40" t="s">
        <v>86</v>
      </c>
      <c r="C102" s="26" t="s">
        <v>87</v>
      </c>
      <c r="D102" s="106">
        <f t="shared" si="51"/>
        <v>1.099</v>
      </c>
      <c r="E102" s="147">
        <f t="shared" si="52"/>
        <v>0.48</v>
      </c>
      <c r="F102" s="148">
        <f t="shared" si="53"/>
        <v>0.096</v>
      </c>
      <c r="G102" s="149">
        <f t="shared" si="54"/>
        <v>7</v>
      </c>
      <c r="H102" s="31">
        <f t="shared" si="55"/>
        <v>17</v>
      </c>
      <c r="I102" s="150">
        <f t="shared" si="56"/>
        <v>2.33</v>
      </c>
      <c r="J102" s="33">
        <v>47.0</v>
      </c>
      <c r="K102" s="33">
        <v>177.0</v>
      </c>
      <c r="L102" s="33">
        <v>55.0</v>
      </c>
      <c r="M102" s="33">
        <v>80.0</v>
      </c>
      <c r="N102" s="33">
        <v>10.0</v>
      </c>
      <c r="O102" s="33">
        <v>2.0</v>
      </c>
      <c r="P102" s="33">
        <v>1.0</v>
      </c>
      <c r="Q102" s="33">
        <v>22.0</v>
      </c>
      <c r="R102" s="33">
        <v>35.0</v>
      </c>
      <c r="S102" s="33">
        <v>15.0</v>
      </c>
      <c r="T102" s="33">
        <v>21.0</v>
      </c>
      <c r="U102" s="33">
        <v>3.0</v>
      </c>
      <c r="V102" s="33">
        <v>0.452</v>
      </c>
      <c r="W102" s="33">
        <v>0.551</v>
      </c>
      <c r="X102" s="33">
        <v>0.548</v>
      </c>
      <c r="Y102" s="34">
        <f t="shared" si="57"/>
        <v>97</v>
      </c>
      <c r="Z102" s="35">
        <f t="shared" si="58"/>
        <v>0.491</v>
      </c>
      <c r="AA102" s="36">
        <f t="shared" si="59"/>
        <v>0.039</v>
      </c>
      <c r="AB102" s="36">
        <f t="shared" si="60"/>
        <v>67</v>
      </c>
      <c r="AC102" s="34">
        <f t="shared" si="61"/>
        <v>212</v>
      </c>
      <c r="AD102" s="151">
        <f t="shared" si="62"/>
        <v>0.88</v>
      </c>
      <c r="AE102" s="38" t="s">
        <v>41</v>
      </c>
      <c r="AF102" s="39"/>
      <c r="AG102" s="39"/>
      <c r="AH102" s="39"/>
      <c r="AI102" s="39"/>
      <c r="AJ102" s="39"/>
      <c r="AK102" s="39"/>
      <c r="AL102" s="39"/>
      <c r="AM102" s="39"/>
    </row>
    <row r="103">
      <c r="A103" s="24">
        <v>20.0</v>
      </c>
      <c r="B103" s="40" t="s">
        <v>46</v>
      </c>
      <c r="C103" s="26" t="s">
        <v>47</v>
      </c>
      <c r="D103" s="49">
        <f t="shared" si="51"/>
        <v>1.291</v>
      </c>
      <c r="E103" s="50">
        <f t="shared" si="52"/>
        <v>0.53</v>
      </c>
      <c r="F103" s="49">
        <f t="shared" si="53"/>
        <v>0.37</v>
      </c>
      <c r="G103" s="51">
        <f t="shared" si="54"/>
        <v>23</v>
      </c>
      <c r="H103" s="52">
        <f t="shared" si="55"/>
        <v>21</v>
      </c>
      <c r="I103" s="53">
        <f t="shared" si="56"/>
        <v>0.91</v>
      </c>
      <c r="J103" s="33">
        <v>59.0</v>
      </c>
      <c r="K103" s="33">
        <v>162.0</v>
      </c>
      <c r="L103" s="33">
        <v>76.0</v>
      </c>
      <c r="M103" s="33">
        <v>62.0</v>
      </c>
      <c r="N103" s="33">
        <v>12.0</v>
      </c>
      <c r="O103" s="33">
        <v>0.0</v>
      </c>
      <c r="P103" s="33">
        <v>16.0</v>
      </c>
      <c r="Q103" s="33">
        <v>55.0</v>
      </c>
      <c r="R103" s="33">
        <v>43.0</v>
      </c>
      <c r="S103" s="33">
        <v>47.0</v>
      </c>
      <c r="T103" s="33">
        <v>7.0</v>
      </c>
      <c r="U103" s="33">
        <v>3.0</v>
      </c>
      <c r="V103" s="33">
        <v>0.383</v>
      </c>
      <c r="W103" s="33">
        <v>0.538</v>
      </c>
      <c r="X103" s="33">
        <v>0.753</v>
      </c>
      <c r="Y103" s="34">
        <f t="shared" si="57"/>
        <v>122</v>
      </c>
      <c r="Z103" s="35">
        <f t="shared" si="58"/>
        <v>0.465</v>
      </c>
      <c r="AA103" s="36">
        <f t="shared" si="59"/>
        <v>0.082</v>
      </c>
      <c r="AB103" s="36">
        <f t="shared" si="60"/>
        <v>34</v>
      </c>
      <c r="AC103" s="34">
        <f t="shared" si="61"/>
        <v>205</v>
      </c>
      <c r="AD103" s="54">
        <f t="shared" si="62"/>
        <v>0.7</v>
      </c>
      <c r="AE103" s="38" t="s">
        <v>41</v>
      </c>
      <c r="AF103" s="39"/>
      <c r="AG103" s="39"/>
      <c r="AH103" s="39"/>
      <c r="AI103" s="39"/>
      <c r="AJ103" s="39"/>
      <c r="AK103" s="39"/>
      <c r="AL103" s="39"/>
      <c r="AM103" s="39"/>
    </row>
    <row r="104">
      <c r="A104" s="24">
        <v>34.0</v>
      </c>
      <c r="B104" s="40" t="s">
        <v>84</v>
      </c>
      <c r="C104" s="26" t="s">
        <v>85</v>
      </c>
      <c r="D104" s="140">
        <f t="shared" si="51"/>
        <v>0.917</v>
      </c>
      <c r="E104" s="141">
        <f t="shared" si="52"/>
        <v>0.408</v>
      </c>
      <c r="F104" s="142">
        <f t="shared" si="53"/>
        <v>0.042</v>
      </c>
      <c r="G104" s="143">
        <f t="shared" si="54"/>
        <v>9</v>
      </c>
      <c r="H104" s="144">
        <f t="shared" si="55"/>
        <v>23</v>
      </c>
      <c r="I104" s="145">
        <f t="shared" si="56"/>
        <v>2.46</v>
      </c>
      <c r="J104" s="33">
        <v>58.0</v>
      </c>
      <c r="K104" s="33">
        <v>194.0</v>
      </c>
      <c r="L104" s="33">
        <v>68.0</v>
      </c>
      <c r="M104" s="33">
        <v>67.0</v>
      </c>
      <c r="N104" s="33">
        <v>4.0</v>
      </c>
      <c r="O104" s="33">
        <v>2.0</v>
      </c>
      <c r="P104" s="33">
        <v>0.0</v>
      </c>
      <c r="Q104" s="33">
        <v>23.0</v>
      </c>
      <c r="R104" s="33">
        <v>59.0</v>
      </c>
      <c r="S104" s="33">
        <v>24.0</v>
      </c>
      <c r="T104" s="33">
        <v>16.0</v>
      </c>
      <c r="U104" s="33">
        <v>3.0</v>
      </c>
      <c r="V104" s="33">
        <v>0.345</v>
      </c>
      <c r="W104" s="33">
        <v>0.53</v>
      </c>
      <c r="X104" s="33">
        <v>0.387</v>
      </c>
      <c r="Y104" s="34">
        <f t="shared" si="57"/>
        <v>75</v>
      </c>
      <c r="Z104" s="35">
        <f t="shared" si="58"/>
        <v>0.394</v>
      </c>
      <c r="AA104" s="36">
        <f t="shared" si="59"/>
        <v>0.049</v>
      </c>
      <c r="AB104" s="36">
        <f t="shared" si="60"/>
        <v>61</v>
      </c>
      <c r="AC104" s="34">
        <f t="shared" si="61"/>
        <v>253</v>
      </c>
      <c r="AD104" s="146">
        <f t="shared" si="62"/>
        <v>0.84</v>
      </c>
      <c r="AE104" s="38" t="s">
        <v>41</v>
      </c>
      <c r="AF104" s="48"/>
      <c r="AG104" s="48"/>
      <c r="AH104" s="48"/>
      <c r="AI104" s="48"/>
      <c r="AJ104" s="48"/>
      <c r="AK104" s="48"/>
      <c r="AL104" s="48"/>
      <c r="AM104" s="48"/>
    </row>
    <row r="105">
      <c r="A105" s="24">
        <v>65.0</v>
      </c>
      <c r="B105" s="25" t="s">
        <v>113</v>
      </c>
      <c r="C105" s="26" t="s">
        <v>114</v>
      </c>
      <c r="D105" s="234">
        <f t="shared" si="51"/>
        <v>1.144</v>
      </c>
      <c r="E105" s="235">
        <f t="shared" si="52"/>
        <v>0.478</v>
      </c>
      <c r="F105" s="236">
        <f t="shared" si="53"/>
        <v>0.288</v>
      </c>
      <c r="G105" s="58">
        <f t="shared" si="54"/>
        <v>22</v>
      </c>
      <c r="H105" s="52">
        <f t="shared" si="55"/>
        <v>21</v>
      </c>
      <c r="I105" s="237">
        <f t="shared" si="56"/>
        <v>0.97</v>
      </c>
      <c r="J105" s="33">
        <v>52.0</v>
      </c>
      <c r="K105" s="33">
        <v>139.0</v>
      </c>
      <c r="L105" s="33">
        <v>47.0</v>
      </c>
      <c r="M105" s="33">
        <v>48.0</v>
      </c>
      <c r="N105" s="33">
        <v>13.0</v>
      </c>
      <c r="O105" s="33">
        <v>0.0</v>
      </c>
      <c r="P105" s="33">
        <v>9.0</v>
      </c>
      <c r="Q105" s="33">
        <v>47.0</v>
      </c>
      <c r="R105" s="33">
        <v>37.0</v>
      </c>
      <c r="S105" s="33">
        <v>38.0</v>
      </c>
      <c r="T105" s="33">
        <v>6.0</v>
      </c>
      <c r="U105" s="33">
        <v>0.0</v>
      </c>
      <c r="V105" s="33">
        <v>0.345</v>
      </c>
      <c r="W105" s="33">
        <v>0.511</v>
      </c>
      <c r="X105" s="33">
        <v>0.633</v>
      </c>
      <c r="Y105" s="34">
        <f t="shared" si="57"/>
        <v>88</v>
      </c>
      <c r="Z105" s="35">
        <f t="shared" si="58"/>
        <v>0.424</v>
      </c>
      <c r="AA105" s="36">
        <f t="shared" si="59"/>
        <v>0.079</v>
      </c>
      <c r="AB105" s="36">
        <f t="shared" si="60"/>
        <v>26</v>
      </c>
      <c r="AC105" s="34">
        <f t="shared" si="61"/>
        <v>176</v>
      </c>
      <c r="AD105" s="61">
        <f t="shared" si="62"/>
        <v>1</v>
      </c>
      <c r="AE105" s="38" t="s">
        <v>41</v>
      </c>
      <c r="AF105" s="48"/>
      <c r="AG105" s="48"/>
      <c r="AH105" s="48"/>
      <c r="AI105" s="48"/>
      <c r="AJ105" s="48"/>
      <c r="AK105" s="48"/>
      <c r="AL105" s="48"/>
      <c r="AM105" s="48"/>
    </row>
    <row r="106">
      <c r="A106" s="24">
        <v>75.0</v>
      </c>
      <c r="B106" s="25" t="s">
        <v>94</v>
      </c>
      <c r="C106" s="26" t="s">
        <v>66</v>
      </c>
      <c r="D106" s="169">
        <f t="shared" si="51"/>
        <v>0.958</v>
      </c>
      <c r="E106" s="170">
        <f t="shared" si="52"/>
        <v>0.428</v>
      </c>
      <c r="F106" s="171">
        <f t="shared" si="53"/>
        <v>0.086</v>
      </c>
      <c r="G106" s="45">
        <f t="shared" si="54"/>
        <v>11</v>
      </c>
      <c r="H106" s="52">
        <f t="shared" si="55"/>
        <v>21</v>
      </c>
      <c r="I106" s="172">
        <f t="shared" si="56"/>
        <v>1.95</v>
      </c>
      <c r="J106" s="33">
        <v>51.0</v>
      </c>
      <c r="K106" s="33">
        <v>151.0</v>
      </c>
      <c r="L106" s="33">
        <v>43.0</v>
      </c>
      <c r="M106" s="33">
        <v>55.0</v>
      </c>
      <c r="N106" s="33">
        <v>7.0</v>
      </c>
      <c r="O106" s="33">
        <v>0.0</v>
      </c>
      <c r="P106" s="33">
        <v>2.0</v>
      </c>
      <c r="Q106" s="33">
        <v>36.0</v>
      </c>
      <c r="R106" s="33">
        <v>41.0</v>
      </c>
      <c r="S106" s="33">
        <v>21.0</v>
      </c>
      <c r="T106" s="33">
        <v>6.0</v>
      </c>
      <c r="U106" s="33">
        <v>4.0</v>
      </c>
      <c r="V106" s="33">
        <v>0.364</v>
      </c>
      <c r="W106" s="33">
        <v>0.508</v>
      </c>
      <c r="X106" s="33">
        <v>0.45</v>
      </c>
      <c r="Y106" s="34">
        <f t="shared" si="57"/>
        <v>68</v>
      </c>
      <c r="Z106" s="35">
        <f t="shared" si="58"/>
        <v>0.414</v>
      </c>
      <c r="AA106" s="36">
        <f t="shared" si="59"/>
        <v>0.05</v>
      </c>
      <c r="AB106" s="36">
        <f t="shared" si="60"/>
        <v>46</v>
      </c>
      <c r="AC106" s="34">
        <f t="shared" si="61"/>
        <v>192</v>
      </c>
      <c r="AD106" s="68">
        <f t="shared" si="62"/>
        <v>0.6</v>
      </c>
      <c r="AE106" s="38" t="s">
        <v>41</v>
      </c>
      <c r="AF106" s="48"/>
      <c r="AG106" s="48"/>
      <c r="AH106" s="48"/>
      <c r="AI106" s="48"/>
      <c r="AJ106" s="48"/>
      <c r="AK106" s="48"/>
      <c r="AL106" s="48"/>
      <c r="AM106" s="48"/>
    </row>
    <row r="107">
      <c r="A107" s="24">
        <v>76.0</v>
      </c>
      <c r="B107" s="40" t="s">
        <v>39</v>
      </c>
      <c r="C107" s="26" t="s">
        <v>40</v>
      </c>
      <c r="D107" s="238">
        <f t="shared" si="51"/>
        <v>1.38</v>
      </c>
      <c r="E107" s="239">
        <f t="shared" si="52"/>
        <v>0.565</v>
      </c>
      <c r="F107" s="240">
        <f t="shared" si="53"/>
        <v>0.491</v>
      </c>
      <c r="G107" s="241">
        <f t="shared" si="54"/>
        <v>20</v>
      </c>
      <c r="H107" s="138">
        <f t="shared" si="55"/>
        <v>19</v>
      </c>
      <c r="I107" s="237">
        <f t="shared" si="56"/>
        <v>0.97</v>
      </c>
      <c r="J107" s="33">
        <v>52.0</v>
      </c>
      <c r="K107" s="33">
        <v>157.0</v>
      </c>
      <c r="L107" s="33">
        <v>56.0</v>
      </c>
      <c r="M107" s="33">
        <v>60.0</v>
      </c>
      <c r="N107" s="33">
        <v>8.0</v>
      </c>
      <c r="O107" s="33">
        <v>3.0</v>
      </c>
      <c r="P107" s="33">
        <v>21.0</v>
      </c>
      <c r="Q107" s="33">
        <v>66.0</v>
      </c>
      <c r="R107" s="33">
        <v>38.0</v>
      </c>
      <c r="S107" s="33">
        <v>39.0</v>
      </c>
      <c r="T107" s="33">
        <v>6.0</v>
      </c>
      <c r="U107" s="33">
        <v>0.0</v>
      </c>
      <c r="V107" s="33">
        <v>0.382</v>
      </c>
      <c r="W107" s="33">
        <v>0.507</v>
      </c>
      <c r="X107" s="33">
        <v>0.873</v>
      </c>
      <c r="Y107" s="34">
        <f t="shared" si="57"/>
        <v>137</v>
      </c>
      <c r="Z107" s="35">
        <f t="shared" si="58"/>
        <v>0.402</v>
      </c>
      <c r="AA107" s="36">
        <f t="shared" si="59"/>
        <v>0.02</v>
      </c>
      <c r="AB107" s="36">
        <f t="shared" si="60"/>
        <v>28</v>
      </c>
      <c r="AC107" s="34">
        <f t="shared" si="61"/>
        <v>195</v>
      </c>
      <c r="AD107" s="61">
        <f t="shared" si="62"/>
        <v>1</v>
      </c>
      <c r="AE107" s="38" t="s">
        <v>41</v>
      </c>
      <c r="AF107" s="48"/>
      <c r="AG107" s="48"/>
      <c r="AH107" s="48"/>
      <c r="AI107" s="48"/>
      <c r="AJ107" s="48"/>
      <c r="AK107" s="48"/>
      <c r="AL107" s="48"/>
      <c r="AM107" s="48"/>
    </row>
    <row r="108">
      <c r="A108" s="24">
        <v>86.0</v>
      </c>
      <c r="B108" s="40" t="s">
        <v>103</v>
      </c>
      <c r="C108" s="26" t="s">
        <v>104</v>
      </c>
      <c r="D108" s="192">
        <f t="shared" si="51"/>
        <v>1.06</v>
      </c>
      <c r="E108" s="193">
        <f t="shared" si="52"/>
        <v>0.45</v>
      </c>
      <c r="F108" s="194">
        <f t="shared" si="53"/>
        <v>0.16</v>
      </c>
      <c r="G108" s="176">
        <f t="shared" si="54"/>
        <v>10</v>
      </c>
      <c r="H108" s="97">
        <f t="shared" si="55"/>
        <v>12</v>
      </c>
      <c r="I108" s="195">
        <f t="shared" si="56"/>
        <v>1.19</v>
      </c>
      <c r="J108" s="33">
        <v>53.0</v>
      </c>
      <c r="K108" s="33">
        <v>181.0</v>
      </c>
      <c r="L108" s="33">
        <v>66.0</v>
      </c>
      <c r="M108" s="33">
        <v>72.0</v>
      </c>
      <c r="N108" s="33">
        <v>14.0</v>
      </c>
      <c r="O108" s="33">
        <v>0.0</v>
      </c>
      <c r="P108" s="33">
        <v>5.0</v>
      </c>
      <c r="Q108" s="33">
        <v>54.0</v>
      </c>
      <c r="R108" s="33">
        <v>25.0</v>
      </c>
      <c r="S108" s="33">
        <v>21.0</v>
      </c>
      <c r="T108" s="33">
        <v>4.0</v>
      </c>
      <c r="U108" s="33">
        <v>0.0</v>
      </c>
      <c r="V108" s="33">
        <v>0.398</v>
      </c>
      <c r="W108" s="33">
        <v>0.502</v>
      </c>
      <c r="X108" s="33">
        <v>0.558</v>
      </c>
      <c r="Y108" s="34">
        <f t="shared" si="57"/>
        <v>101</v>
      </c>
      <c r="Z108" s="35">
        <f t="shared" si="58"/>
        <v>0.432</v>
      </c>
      <c r="AA108" s="36">
        <f t="shared" si="59"/>
        <v>0.034</v>
      </c>
      <c r="AB108" s="36">
        <f t="shared" si="60"/>
        <v>53</v>
      </c>
      <c r="AC108" s="34">
        <f t="shared" si="61"/>
        <v>206</v>
      </c>
      <c r="AD108" s="61">
        <f t="shared" si="62"/>
        <v>1</v>
      </c>
      <c r="AE108" s="38" t="s">
        <v>41</v>
      </c>
      <c r="AF108" s="48"/>
      <c r="AG108" s="48"/>
      <c r="AH108" s="48"/>
      <c r="AI108" s="48"/>
      <c r="AJ108" s="48"/>
      <c r="AK108" s="48"/>
      <c r="AL108" s="48"/>
      <c r="AM108" s="48"/>
    </row>
    <row r="109">
      <c r="A109" s="24">
        <v>98.0</v>
      </c>
      <c r="B109" s="40" t="s">
        <v>62</v>
      </c>
      <c r="C109" s="26" t="s">
        <v>63</v>
      </c>
      <c r="D109" s="104">
        <f t="shared" si="51"/>
        <v>1.159</v>
      </c>
      <c r="E109" s="105">
        <f t="shared" si="52"/>
        <v>0.494</v>
      </c>
      <c r="F109" s="106">
        <f t="shared" si="53"/>
        <v>0.252</v>
      </c>
      <c r="G109" s="107">
        <f t="shared" si="54"/>
        <v>17</v>
      </c>
      <c r="H109" s="66">
        <f t="shared" si="55"/>
        <v>14</v>
      </c>
      <c r="I109" s="80">
        <f t="shared" si="56"/>
        <v>0.86</v>
      </c>
      <c r="J109" s="33">
        <v>54.0</v>
      </c>
      <c r="K109" s="33">
        <v>186.0</v>
      </c>
      <c r="L109" s="33">
        <v>56.0</v>
      </c>
      <c r="M109" s="33">
        <v>76.0</v>
      </c>
      <c r="N109" s="33">
        <v>21.0</v>
      </c>
      <c r="O109" s="33">
        <v>4.0</v>
      </c>
      <c r="P109" s="33">
        <v>6.0</v>
      </c>
      <c r="Q109" s="33">
        <v>47.0</v>
      </c>
      <c r="R109" s="33">
        <v>31.0</v>
      </c>
      <c r="S109" s="33">
        <v>36.0</v>
      </c>
      <c r="T109" s="33">
        <v>3.0</v>
      </c>
      <c r="U109" s="33">
        <v>1.0</v>
      </c>
      <c r="V109" s="33">
        <v>0.409</v>
      </c>
      <c r="W109" s="33">
        <v>0.498</v>
      </c>
      <c r="X109" s="33">
        <v>0.661</v>
      </c>
      <c r="Y109" s="34">
        <f t="shared" si="57"/>
        <v>123</v>
      </c>
      <c r="Z109" s="35">
        <f t="shared" si="58"/>
        <v>0.486</v>
      </c>
      <c r="AA109" s="36">
        <f t="shared" si="59"/>
        <v>0.077</v>
      </c>
      <c r="AB109" s="36">
        <f t="shared" si="60"/>
        <v>45</v>
      </c>
      <c r="AC109" s="34">
        <f t="shared" si="61"/>
        <v>217</v>
      </c>
      <c r="AD109" s="108">
        <f t="shared" si="62"/>
        <v>0.75</v>
      </c>
      <c r="AE109" s="38" t="s">
        <v>41</v>
      </c>
      <c r="AF109" s="48"/>
      <c r="AG109" s="48"/>
      <c r="AH109" s="48"/>
      <c r="AI109" s="48"/>
      <c r="AJ109" s="48"/>
      <c r="AK109" s="48"/>
      <c r="AL109" s="48"/>
      <c r="AM109" s="48"/>
    </row>
    <row r="110">
      <c r="A110" s="24">
        <v>103.0</v>
      </c>
      <c r="B110" s="40" t="s">
        <v>44</v>
      </c>
      <c r="C110" s="41" t="s">
        <v>45</v>
      </c>
      <c r="D110" s="42">
        <f t="shared" si="51"/>
        <v>1.305</v>
      </c>
      <c r="E110" s="43">
        <f t="shared" si="52"/>
        <v>0.544</v>
      </c>
      <c r="F110" s="44">
        <f t="shared" si="53"/>
        <v>0.379</v>
      </c>
      <c r="G110" s="45">
        <f t="shared" si="54"/>
        <v>11</v>
      </c>
      <c r="H110" s="46">
        <f t="shared" si="55"/>
        <v>9</v>
      </c>
      <c r="I110" s="30">
        <f t="shared" si="56"/>
        <v>0.82</v>
      </c>
      <c r="J110" s="33">
        <v>55.0</v>
      </c>
      <c r="K110" s="33">
        <v>174.0</v>
      </c>
      <c r="L110" s="33">
        <v>54.0</v>
      </c>
      <c r="M110" s="33">
        <v>75.0</v>
      </c>
      <c r="N110" s="33">
        <v>21.0</v>
      </c>
      <c r="O110" s="33">
        <v>9.0</v>
      </c>
      <c r="P110" s="33">
        <v>9.0</v>
      </c>
      <c r="Q110" s="33">
        <v>48.0</v>
      </c>
      <c r="R110" s="33">
        <v>18.0</v>
      </c>
      <c r="S110" s="33">
        <v>22.0</v>
      </c>
      <c r="T110" s="33">
        <v>10.0</v>
      </c>
      <c r="U110" s="33">
        <v>2.0</v>
      </c>
      <c r="V110" s="33">
        <v>0.431</v>
      </c>
      <c r="W110" s="33">
        <v>0.495</v>
      </c>
      <c r="X110" s="33">
        <v>0.81</v>
      </c>
      <c r="Y110" s="34">
        <f t="shared" si="57"/>
        <v>141</v>
      </c>
      <c r="Z110" s="35">
        <f t="shared" si="58"/>
        <v>0.462</v>
      </c>
      <c r="AA110" s="36">
        <f t="shared" si="59"/>
        <v>0.031</v>
      </c>
      <c r="AB110" s="36">
        <f t="shared" si="60"/>
        <v>36</v>
      </c>
      <c r="AC110" s="34">
        <f t="shared" si="61"/>
        <v>192</v>
      </c>
      <c r="AD110" s="47">
        <f t="shared" si="62"/>
        <v>0.83</v>
      </c>
      <c r="AE110" s="38" t="s">
        <v>41</v>
      </c>
      <c r="AF110" s="48"/>
      <c r="AG110" s="48"/>
      <c r="AH110" s="48"/>
      <c r="AI110" s="48"/>
      <c r="AJ110" s="48"/>
      <c r="AK110" s="48"/>
      <c r="AL110" s="48"/>
      <c r="AM110" s="48"/>
    </row>
    <row r="111">
      <c r="A111" s="24">
        <v>105.0</v>
      </c>
      <c r="B111" s="25" t="s">
        <v>101</v>
      </c>
      <c r="C111" s="26" t="s">
        <v>102</v>
      </c>
      <c r="D111" s="188">
        <f t="shared" si="51"/>
        <v>0.987</v>
      </c>
      <c r="E111" s="189">
        <f t="shared" si="52"/>
        <v>0.433</v>
      </c>
      <c r="F111" s="190">
        <f t="shared" si="53"/>
        <v>0.147</v>
      </c>
      <c r="G111" s="107">
        <f t="shared" si="54"/>
        <v>17</v>
      </c>
      <c r="H111" s="52">
        <f t="shared" si="55"/>
        <v>21</v>
      </c>
      <c r="I111" s="191">
        <f t="shared" si="56"/>
        <v>1.28</v>
      </c>
      <c r="J111" s="33">
        <v>44.0</v>
      </c>
      <c r="K111" s="33">
        <v>136.0</v>
      </c>
      <c r="L111" s="33">
        <v>41.0</v>
      </c>
      <c r="M111" s="33">
        <v>47.0</v>
      </c>
      <c r="N111" s="33">
        <v>11.0</v>
      </c>
      <c r="O111" s="33">
        <v>3.0</v>
      </c>
      <c r="P111" s="33">
        <v>1.0</v>
      </c>
      <c r="Q111" s="33">
        <v>31.0</v>
      </c>
      <c r="R111" s="33">
        <v>37.0</v>
      </c>
      <c r="S111" s="33">
        <v>29.0</v>
      </c>
      <c r="T111" s="33">
        <v>5.0</v>
      </c>
      <c r="U111" s="33">
        <v>2.0</v>
      </c>
      <c r="V111" s="33">
        <v>0.346</v>
      </c>
      <c r="W111" s="33">
        <v>0.494</v>
      </c>
      <c r="X111" s="33">
        <v>0.493</v>
      </c>
      <c r="Y111" s="34">
        <f t="shared" si="57"/>
        <v>67</v>
      </c>
      <c r="Z111" s="35">
        <f t="shared" si="58"/>
        <v>0.434</v>
      </c>
      <c r="AA111" s="36">
        <f t="shared" si="59"/>
        <v>0.088</v>
      </c>
      <c r="AB111" s="36">
        <f t="shared" si="60"/>
        <v>32</v>
      </c>
      <c r="AC111" s="34">
        <f t="shared" si="61"/>
        <v>173</v>
      </c>
      <c r="AD111" s="187">
        <f t="shared" si="62"/>
        <v>0.71</v>
      </c>
      <c r="AE111" s="38" t="s">
        <v>41</v>
      </c>
      <c r="AF111" s="48"/>
      <c r="AG111" s="48"/>
      <c r="AH111" s="48"/>
      <c r="AI111" s="48"/>
      <c r="AJ111" s="48"/>
      <c r="AK111" s="48"/>
      <c r="AL111" s="48"/>
      <c r="AM111" s="48"/>
    </row>
    <row r="112">
      <c r="A112" s="24">
        <v>111.0</v>
      </c>
      <c r="B112" s="40" t="s">
        <v>55</v>
      </c>
      <c r="C112" s="26" t="s">
        <v>56</v>
      </c>
      <c r="D112" s="82">
        <f t="shared" si="51"/>
        <v>1.216</v>
      </c>
      <c r="E112" s="83">
        <f t="shared" si="52"/>
        <v>0.512</v>
      </c>
      <c r="F112" s="84">
        <f t="shared" si="53"/>
        <v>0.307</v>
      </c>
      <c r="G112" s="85">
        <f t="shared" si="54"/>
        <v>13</v>
      </c>
      <c r="H112" s="86">
        <f t="shared" si="55"/>
        <v>11</v>
      </c>
      <c r="I112" s="87">
        <f t="shared" si="56"/>
        <v>0.88</v>
      </c>
      <c r="J112" s="33">
        <v>53.0</v>
      </c>
      <c r="K112" s="33">
        <v>173.0</v>
      </c>
      <c r="L112" s="33">
        <v>54.0</v>
      </c>
      <c r="M112" s="33">
        <v>72.0</v>
      </c>
      <c r="N112" s="33">
        <v>16.0</v>
      </c>
      <c r="O112" s="33">
        <v>5.0</v>
      </c>
      <c r="P112" s="33">
        <v>9.0</v>
      </c>
      <c r="Q112" s="33">
        <v>63.0</v>
      </c>
      <c r="R112" s="33">
        <v>22.0</v>
      </c>
      <c r="S112" s="33">
        <v>25.0</v>
      </c>
      <c r="T112" s="33">
        <v>13.0</v>
      </c>
      <c r="U112" s="33">
        <v>4.0</v>
      </c>
      <c r="V112" s="33">
        <v>0.416</v>
      </c>
      <c r="W112" s="33">
        <v>0.493</v>
      </c>
      <c r="X112" s="33">
        <v>0.723</v>
      </c>
      <c r="Y112" s="34">
        <f t="shared" si="57"/>
        <v>125</v>
      </c>
      <c r="Z112" s="35">
        <f t="shared" si="58"/>
        <v>0.453</v>
      </c>
      <c r="AA112" s="36">
        <f t="shared" si="59"/>
        <v>0.037</v>
      </c>
      <c r="AB112" s="36">
        <f t="shared" si="60"/>
        <v>42</v>
      </c>
      <c r="AC112" s="34">
        <f t="shared" si="61"/>
        <v>195</v>
      </c>
      <c r="AD112" s="88">
        <f t="shared" si="62"/>
        <v>0.76</v>
      </c>
      <c r="AE112" s="38" t="s">
        <v>41</v>
      </c>
      <c r="AF112" s="48"/>
      <c r="AG112" s="48"/>
      <c r="AH112" s="48"/>
      <c r="AI112" s="48"/>
      <c r="AJ112" s="48"/>
      <c r="AK112" s="48"/>
      <c r="AL112" s="48"/>
      <c r="AM112" s="48"/>
    </row>
    <row r="113">
      <c r="A113" s="24">
        <v>112.0</v>
      </c>
      <c r="B113" s="25" t="s">
        <v>64</v>
      </c>
      <c r="C113" s="26" t="s">
        <v>47</v>
      </c>
      <c r="D113" s="109">
        <f t="shared" si="51"/>
        <v>1.199</v>
      </c>
      <c r="E113" s="110">
        <f t="shared" si="52"/>
        <v>0.486</v>
      </c>
      <c r="F113" s="111">
        <f t="shared" si="53"/>
        <v>0.367</v>
      </c>
      <c r="G113" s="72">
        <f t="shared" si="54"/>
        <v>16</v>
      </c>
      <c r="H113" s="31">
        <f t="shared" si="55"/>
        <v>17</v>
      </c>
      <c r="I113" s="112">
        <f t="shared" si="56"/>
        <v>1.03</v>
      </c>
      <c r="J113" s="33">
        <v>54.0</v>
      </c>
      <c r="K113" s="33">
        <v>150.0</v>
      </c>
      <c r="L113" s="33">
        <v>49.0</v>
      </c>
      <c r="M113" s="33">
        <v>51.0</v>
      </c>
      <c r="N113" s="33">
        <v>10.0</v>
      </c>
      <c r="O113" s="33">
        <v>6.0</v>
      </c>
      <c r="P113" s="33">
        <v>11.0</v>
      </c>
      <c r="Q113" s="33">
        <v>52.0</v>
      </c>
      <c r="R113" s="33">
        <v>30.0</v>
      </c>
      <c r="S113" s="33">
        <v>29.0</v>
      </c>
      <c r="T113" s="33">
        <v>6.0</v>
      </c>
      <c r="U113" s="33">
        <v>1.0</v>
      </c>
      <c r="V113" s="33">
        <v>0.34</v>
      </c>
      <c r="W113" s="33">
        <v>0.492</v>
      </c>
      <c r="X113" s="33">
        <v>0.707</v>
      </c>
      <c r="Y113" s="34">
        <f t="shared" si="57"/>
        <v>106</v>
      </c>
      <c r="Z113" s="35">
        <f t="shared" si="58"/>
        <v>0.364</v>
      </c>
      <c r="AA113" s="36">
        <f t="shared" si="59"/>
        <v>0.024</v>
      </c>
      <c r="AB113" s="36">
        <f t="shared" si="60"/>
        <v>24</v>
      </c>
      <c r="AC113" s="34">
        <f t="shared" si="61"/>
        <v>180</v>
      </c>
      <c r="AD113" s="113">
        <f t="shared" si="62"/>
        <v>0.86</v>
      </c>
      <c r="AE113" s="38" t="s">
        <v>41</v>
      </c>
      <c r="AF113" s="48"/>
      <c r="AG113" s="48"/>
      <c r="AH113" s="48"/>
      <c r="AI113" s="48"/>
      <c r="AJ113" s="48"/>
      <c r="AK113" s="48"/>
      <c r="AL113" s="48"/>
      <c r="AM113" s="48"/>
    </row>
    <row r="114">
      <c r="A114" s="24">
        <v>117.0</v>
      </c>
      <c r="B114" s="25" t="s">
        <v>69</v>
      </c>
      <c r="C114" s="41" t="s">
        <v>45</v>
      </c>
      <c r="D114" s="121">
        <f t="shared" si="51"/>
        <v>1.172</v>
      </c>
      <c r="E114" s="122">
        <f t="shared" si="52"/>
        <v>0.482</v>
      </c>
      <c r="F114" s="123">
        <f t="shared" si="53"/>
        <v>0.344</v>
      </c>
      <c r="G114" s="124">
        <f t="shared" si="54"/>
        <v>24</v>
      </c>
      <c r="H114" s="125">
        <f t="shared" si="55"/>
        <v>18</v>
      </c>
      <c r="I114" s="126">
        <f t="shared" si="56"/>
        <v>0.75</v>
      </c>
      <c r="J114" s="33">
        <v>54.0</v>
      </c>
      <c r="K114" s="33">
        <v>151.0</v>
      </c>
      <c r="L114" s="33">
        <v>54.0</v>
      </c>
      <c r="M114" s="33">
        <v>51.0</v>
      </c>
      <c r="N114" s="33">
        <v>17.0</v>
      </c>
      <c r="O114" s="33">
        <v>1.0</v>
      </c>
      <c r="P114" s="33">
        <v>11.0</v>
      </c>
      <c r="Q114" s="33">
        <v>38.0</v>
      </c>
      <c r="R114" s="33">
        <v>33.0</v>
      </c>
      <c r="S114" s="33">
        <v>44.0</v>
      </c>
      <c r="T114" s="33">
        <v>13.0</v>
      </c>
      <c r="U114" s="33">
        <v>5.0</v>
      </c>
      <c r="V114" s="33">
        <v>0.338</v>
      </c>
      <c r="W114" s="33">
        <v>0.49</v>
      </c>
      <c r="X114" s="33">
        <v>0.682</v>
      </c>
      <c r="Y114" s="34">
        <f t="shared" si="57"/>
        <v>103</v>
      </c>
      <c r="Z114" s="35">
        <f t="shared" si="58"/>
        <v>0.417</v>
      </c>
      <c r="AA114" s="36">
        <f t="shared" si="59"/>
        <v>0.079</v>
      </c>
      <c r="AB114" s="36">
        <f t="shared" si="60"/>
        <v>22</v>
      </c>
      <c r="AC114" s="34">
        <f t="shared" si="61"/>
        <v>184</v>
      </c>
      <c r="AD114" s="127">
        <f t="shared" si="62"/>
        <v>0.72</v>
      </c>
      <c r="AE114" s="38" t="s">
        <v>41</v>
      </c>
      <c r="AF114" s="48"/>
      <c r="AG114" s="48"/>
      <c r="AH114" s="48"/>
      <c r="AI114" s="48"/>
      <c r="AJ114" s="48"/>
      <c r="AK114" s="48"/>
      <c r="AL114" s="48"/>
      <c r="AM114" s="48"/>
    </row>
    <row r="115">
      <c r="A115" s="24">
        <v>134.0</v>
      </c>
      <c r="B115" s="25" t="s">
        <v>57</v>
      </c>
      <c r="C115" s="41" t="s">
        <v>45</v>
      </c>
      <c r="D115" s="89">
        <f t="shared" si="51"/>
        <v>1.198</v>
      </c>
      <c r="E115" s="90">
        <f t="shared" si="52"/>
        <v>0.502</v>
      </c>
      <c r="F115" s="91">
        <f t="shared" si="53"/>
        <v>0.32</v>
      </c>
      <c r="G115" s="92">
        <f t="shared" si="54"/>
        <v>30</v>
      </c>
      <c r="H115" s="59">
        <f t="shared" si="55"/>
        <v>13</v>
      </c>
      <c r="I115" s="93">
        <f t="shared" si="56"/>
        <v>0.44</v>
      </c>
      <c r="J115" s="33">
        <v>53.0</v>
      </c>
      <c r="K115" s="33">
        <v>125.0</v>
      </c>
      <c r="L115" s="33">
        <v>42.0</v>
      </c>
      <c r="M115" s="33">
        <v>49.0</v>
      </c>
      <c r="N115" s="33">
        <v>10.0</v>
      </c>
      <c r="O115" s="33">
        <v>3.0</v>
      </c>
      <c r="P115" s="33">
        <v>8.0</v>
      </c>
      <c r="Q115" s="33">
        <v>36.0</v>
      </c>
      <c r="R115" s="33">
        <v>19.0</v>
      </c>
      <c r="S115" s="33">
        <v>43.0</v>
      </c>
      <c r="T115" s="33">
        <v>9.0</v>
      </c>
      <c r="U115" s="33">
        <v>0.0</v>
      </c>
      <c r="V115" s="33">
        <v>0.392</v>
      </c>
      <c r="W115" s="33">
        <v>0.486</v>
      </c>
      <c r="X115" s="33">
        <v>0.712</v>
      </c>
      <c r="Y115" s="34">
        <f t="shared" si="57"/>
        <v>89</v>
      </c>
      <c r="Z115" s="35">
        <f t="shared" si="58"/>
        <v>0.554</v>
      </c>
      <c r="AA115" s="36">
        <f t="shared" si="59"/>
        <v>0.162</v>
      </c>
      <c r="AB115" s="36">
        <f t="shared" si="60"/>
        <v>28</v>
      </c>
      <c r="AC115" s="34">
        <f t="shared" si="61"/>
        <v>144</v>
      </c>
      <c r="AD115" s="61">
        <f t="shared" si="62"/>
        <v>1</v>
      </c>
      <c r="AE115" s="38" t="s">
        <v>41</v>
      </c>
      <c r="AF115" s="48"/>
      <c r="AG115" s="48"/>
      <c r="AH115" s="48"/>
      <c r="AI115" s="48"/>
      <c r="AJ115" s="48"/>
      <c r="AK115" s="48"/>
      <c r="AL115" s="48"/>
      <c r="AM115" s="48"/>
    </row>
    <row r="116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</sheetData>
  <drawing r:id="rId1"/>
</worksheet>
</file>