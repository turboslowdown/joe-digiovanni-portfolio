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0WlEbTmg04Y00J9UrETpkMKWMXYwVqN7h82/+51gJU="/>
    </ext>
  </extLst>
</workbook>
</file>

<file path=xl/sharedStrings.xml><?xml version="1.0" encoding="utf-8"?>
<sst xmlns="http://schemas.openxmlformats.org/spreadsheetml/2006/main" count="249" uniqueCount="198">
  <si>
    <t>Name</t>
  </si>
  <si>
    <t>School</t>
  </si>
  <si>
    <t>FIP</t>
  </si>
  <si>
    <t>ERA</t>
  </si>
  <si>
    <t>FIP-ERA</t>
  </si>
  <si>
    <t>RA9</t>
  </si>
  <si>
    <t>WHIP</t>
  </si>
  <si>
    <t>K/9</t>
  </si>
  <si>
    <t>SO/W</t>
  </si>
  <si>
    <t>BB/9</t>
  </si>
  <si>
    <t>HR/9</t>
  </si>
  <si>
    <t>HR/H%</t>
  </si>
  <si>
    <t>IP</t>
  </si>
  <si>
    <t>CG</t>
  </si>
  <si>
    <t>G</t>
  </si>
  <si>
    <t>GS</t>
  </si>
  <si>
    <t>W</t>
  </si>
  <si>
    <t>L</t>
  </si>
  <si>
    <t>SV</t>
  </si>
  <si>
    <t>H</t>
  </si>
  <si>
    <t>R</t>
  </si>
  <si>
    <t>ER</t>
  </si>
  <si>
    <t>BB</t>
  </si>
  <si>
    <t>K</t>
  </si>
  <si>
    <t>HR</t>
  </si>
  <si>
    <t>HBP</t>
  </si>
  <si>
    <t>D/C?</t>
  </si>
  <si>
    <t>B Haywood</t>
  </si>
  <si>
    <t>Labette</t>
  </si>
  <si>
    <t>~</t>
  </si>
  <si>
    <t>B Luna Alvarez</t>
  </si>
  <si>
    <t>Seward County</t>
  </si>
  <si>
    <t>R Leiker</t>
  </si>
  <si>
    <t>Coffeyville</t>
  </si>
  <si>
    <t>G Nail</t>
  </si>
  <si>
    <t>Angelina</t>
  </si>
  <si>
    <t>A Asbill</t>
  </si>
  <si>
    <t>Tallahassee</t>
  </si>
  <si>
    <t>T Cunningham</t>
  </si>
  <si>
    <t>Vernon</t>
  </si>
  <si>
    <t>Thomas More</t>
  </si>
  <si>
    <t>K Witherspoon</t>
  </si>
  <si>
    <t>Northwest Florida State</t>
  </si>
  <si>
    <t>Oklahoma</t>
  </si>
  <si>
    <t>M Phillips</t>
  </si>
  <si>
    <t>Coastal Alabama - Brewton</t>
  </si>
  <si>
    <t>West Georgia</t>
  </si>
  <si>
    <t>E Tapia</t>
  </si>
  <si>
    <t>Fort Scott</t>
  </si>
  <si>
    <t>A Butler</t>
  </si>
  <si>
    <t>Polk State</t>
  </si>
  <si>
    <t>B Turnbow</t>
  </si>
  <si>
    <t>Wallace-Selma</t>
  </si>
  <si>
    <t>N Adcock</t>
  </si>
  <si>
    <t>Kaskaskia</t>
  </si>
  <si>
    <t>Kentucky</t>
  </si>
  <si>
    <t>M Chabi</t>
  </si>
  <si>
    <t>McCook</t>
  </si>
  <si>
    <t>H MacLeod</t>
  </si>
  <si>
    <t>Rend Lake</t>
  </si>
  <si>
    <t>L Elissalt</t>
  </si>
  <si>
    <t>Coastal Alabama - South</t>
  </si>
  <si>
    <t>D Quinonez</t>
  </si>
  <si>
    <t>Luna</t>
  </si>
  <si>
    <t>Ottawa</t>
  </si>
  <si>
    <t>S Hall</t>
  </si>
  <si>
    <t>Panola</t>
  </si>
  <si>
    <t>Texas State</t>
  </si>
  <si>
    <t>I Thornton</t>
  </si>
  <si>
    <t>Rose State</t>
  </si>
  <si>
    <t>A Bragg</t>
  </si>
  <si>
    <t>Bevill State</t>
  </si>
  <si>
    <t>A Harford</t>
  </si>
  <si>
    <t>Daytona State</t>
  </si>
  <si>
    <t>R Edwards</t>
  </si>
  <si>
    <t>USC Lancaster</t>
  </si>
  <si>
    <t>Erskine</t>
  </si>
  <si>
    <t>C Smith</t>
  </si>
  <si>
    <t>Chattanooga State</t>
  </si>
  <si>
    <t>Memphis</t>
  </si>
  <si>
    <t>M Dixon</t>
  </si>
  <si>
    <t>Southwest Tennessee</t>
  </si>
  <si>
    <t>D Satterlee</t>
  </si>
  <si>
    <t>Cowley</t>
  </si>
  <si>
    <t>T Cain</t>
  </si>
  <si>
    <t>Barton</t>
  </si>
  <si>
    <t>Kansas</t>
  </si>
  <si>
    <t>G Wernsing</t>
  </si>
  <si>
    <t>Southwestern Illinois</t>
  </si>
  <si>
    <t>Southern Illinois</t>
  </si>
  <si>
    <t>T Garmon</t>
  </si>
  <si>
    <t>Abraham Baldwin</t>
  </si>
  <si>
    <t>B Nelson</t>
  </si>
  <si>
    <t>Arizona Western</t>
  </si>
  <si>
    <t>M Davenport</t>
  </si>
  <si>
    <t>Kansas City Kansas</t>
  </si>
  <si>
    <t>G DeGraauw</t>
  </si>
  <si>
    <t>Seminole State (OK)</t>
  </si>
  <si>
    <t>M Pfeiffer</t>
  </si>
  <si>
    <t>Northwest-Shoals Community College</t>
  </si>
  <si>
    <t>Eastern Michigan</t>
  </si>
  <si>
    <t>T Johnson</t>
  </si>
  <si>
    <t>Triton</t>
  </si>
  <si>
    <t>T Baker</t>
  </si>
  <si>
    <t>Georgia Highlands</t>
  </si>
  <si>
    <t>UNC Charlotte</t>
  </si>
  <si>
    <t>J Skinner</t>
  </si>
  <si>
    <t>Kishwaukee</t>
  </si>
  <si>
    <t>C Kelley</t>
  </si>
  <si>
    <t>Paris</t>
  </si>
  <si>
    <t>UT San Antonio</t>
  </si>
  <si>
    <t>R Fortenberry</t>
  </si>
  <si>
    <t>Weatherford</t>
  </si>
  <si>
    <t>Mississippi State</t>
  </si>
  <si>
    <t>C Casteel</t>
  </si>
  <si>
    <t>Cleveland State</t>
  </si>
  <si>
    <t>C Oppor</t>
  </si>
  <si>
    <t>Gulf Coast State</t>
  </si>
  <si>
    <t>R Combs</t>
  </si>
  <si>
    <t>C Sanders</t>
  </si>
  <si>
    <t>Bishop State</t>
  </si>
  <si>
    <t>S Pace</t>
  </si>
  <si>
    <t>O Wood</t>
  </si>
  <si>
    <t>The Citadel</t>
  </si>
  <si>
    <t>J Preito</t>
  </si>
  <si>
    <t>Hill</t>
  </si>
  <si>
    <t>C Bordes</t>
  </si>
  <si>
    <t>Nunez</t>
  </si>
  <si>
    <t>R Kelley</t>
  </si>
  <si>
    <t>G Murry</t>
  </si>
  <si>
    <t>Tyler</t>
  </si>
  <si>
    <t>C Kickhaefer</t>
  </si>
  <si>
    <t>Butler</t>
  </si>
  <si>
    <t>Southeast Missouri</t>
  </si>
  <si>
    <t>K VanTKlooster</t>
  </si>
  <si>
    <t>Nicholls</t>
  </si>
  <si>
    <t>B Grasser</t>
  </si>
  <si>
    <t>Chattahoochee Valley</t>
  </si>
  <si>
    <t>R Hernandez</t>
  </si>
  <si>
    <t>Oral Roberts</t>
  </si>
  <si>
    <t>K Carr</t>
  </si>
  <si>
    <t>Jefferson (MO)</t>
  </si>
  <si>
    <t>A Castro</t>
  </si>
  <si>
    <t>Pima</t>
  </si>
  <si>
    <t>UArizona</t>
  </si>
  <si>
    <t>O Mabee</t>
  </si>
  <si>
    <t>Trinidad State</t>
  </si>
  <si>
    <t>B Vail</t>
  </si>
  <si>
    <t>Shelton State</t>
  </si>
  <si>
    <t>Auburn</t>
  </si>
  <si>
    <t>A Branson</t>
  </si>
  <si>
    <t>Crowder</t>
  </si>
  <si>
    <t>D Orr</t>
  </si>
  <si>
    <t>Yavapai</t>
  </si>
  <si>
    <t>Grand Canyon</t>
  </si>
  <si>
    <t>R Rodriguez</t>
  </si>
  <si>
    <t>Ole Miss</t>
  </si>
  <si>
    <t>D Pestka</t>
  </si>
  <si>
    <t>John A. Logan</t>
  </si>
  <si>
    <t>Tennessee</t>
  </si>
  <si>
    <t>L O'Leary</t>
  </si>
  <si>
    <t>Hillsborough</t>
  </si>
  <si>
    <t>T Boudreau</t>
  </si>
  <si>
    <t>Midland</t>
  </si>
  <si>
    <t>Z Leduc</t>
  </si>
  <si>
    <t>Frontier</t>
  </si>
  <si>
    <t>Indiana State</t>
  </si>
  <si>
    <t>M McConnaughey</t>
  </si>
  <si>
    <t>Cloud County</t>
  </si>
  <si>
    <t>Nebraska</t>
  </si>
  <si>
    <t>J Glodfelter</t>
  </si>
  <si>
    <t>Pensacola State</t>
  </si>
  <si>
    <t>D Alvarez</t>
  </si>
  <si>
    <t>Eastern Arizona</t>
  </si>
  <si>
    <t>New Mexico</t>
  </si>
  <si>
    <t>N Straniero</t>
  </si>
  <si>
    <t>Gaston College</t>
  </si>
  <si>
    <t>J Stogner</t>
  </si>
  <si>
    <t>Wallace State</t>
  </si>
  <si>
    <t>Northern Alabama</t>
  </si>
  <si>
    <t>B Panneton</t>
  </si>
  <si>
    <t>Wharton County</t>
  </si>
  <si>
    <t>S Cushing</t>
  </si>
  <si>
    <t>Southern Idaho</t>
  </si>
  <si>
    <t>BYU</t>
  </si>
  <si>
    <t>C Lansville</t>
  </si>
  <si>
    <t>San Jacinto</t>
  </si>
  <si>
    <t>San Francisco Giants</t>
  </si>
  <si>
    <t>J Blackwood</t>
  </si>
  <si>
    <t>Alabama</t>
  </si>
  <si>
    <t>L Litteral</t>
  </si>
  <si>
    <t>Western Kentucky</t>
  </si>
  <si>
    <t>E Koehler</t>
  </si>
  <si>
    <t>M Forret</t>
  </si>
  <si>
    <t>State College of Florida</t>
  </si>
  <si>
    <t>Baltimore Orioles</t>
  </si>
  <si>
    <t>J Roettgen</t>
  </si>
  <si>
    <t>Troy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</si>
</sst>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rgb="FFFFFFFF"/>
      <name val="Arial"/>
    </font>
    <font>
      <b/>
      <sz val="14.0"/>
      <color rgb="FFFFFFFF"/>
      <name val="Arial"/>
    </font>
    <font>
      <sz val="14.0"/>
      <color rgb="FFFFFF00"/>
      <name val="Arial"/>
    </font>
    <font>
      <sz val="14.0"/>
      <color theme="0"/>
      <name val="Arial"/>
    </font>
    <font>
      <sz val="14.0"/>
      <color rgb="FFA4C2F4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42424"/>
        <bgColor rgb="FF242424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 vertical="bottom"/>
    </xf>
    <xf borderId="1" fillId="9" fontId="3" numFmtId="0" xfId="0" applyAlignment="1" applyBorder="1" applyFill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10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11" fontId="1" numFmtId="0" xfId="0" applyAlignment="1" applyBorder="1" applyFill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center"/>
    </xf>
    <xf borderId="1" fillId="11" fontId="4" numFmtId="0" xfId="0" applyAlignment="1" applyBorder="1" applyFont="1">
      <alignment horizontal="center"/>
    </xf>
    <xf borderId="1" fillId="10" fontId="5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1" fillId="10" fontId="4" numFmtId="0" xfId="0" applyAlignment="1" applyBorder="1" applyFont="1">
      <alignment horizontal="center"/>
    </xf>
    <xf borderId="1" fillId="12" fontId="1" numFmtId="0" xfId="0" applyAlignment="1" applyBorder="1" applyFill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13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top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0.88"/>
    <col customWidth="1" min="3" max="3" width="31.38"/>
    <col customWidth="1" min="4" max="4" width="10.75"/>
    <col customWidth="1" min="5" max="5" width="8.13"/>
    <col customWidth="1" min="6" max="6" width="9.38"/>
    <col customWidth="1" min="7" max="7" width="8.13"/>
    <col customWidth="1" min="8" max="10" width="8.75"/>
    <col customWidth="1" min="11" max="14" width="9.38"/>
    <col customWidth="1" min="15" max="15" width="5.88"/>
    <col customWidth="1" min="16" max="16" width="7.0"/>
    <col customWidth="1" min="17" max="17" width="5.38"/>
    <col customWidth="1" min="18" max="18" width="5.13"/>
    <col customWidth="1" min="19" max="19" width="4.5"/>
    <col customWidth="1" min="20" max="20" width="5.0"/>
    <col customWidth="1" min="21" max="21" width="6.0"/>
    <col customWidth="1" min="22" max="22" width="6.13"/>
    <col customWidth="1" min="23" max="23" width="6.0"/>
    <col customWidth="1" min="24" max="24" width="5.25"/>
    <col customWidth="1" min="25" max="25" width="7.0"/>
    <col customWidth="1" min="26" max="26" width="5.13"/>
    <col customWidth="1" min="27" max="27" width="6.63"/>
    <col customWidth="1" min="28" max="28" width="30.25"/>
  </cols>
  <sheetData>
    <row r="1" ht="15.75" customHeight="1">
      <c r="A1" s="1"/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2" t="s">
        <v>25</v>
      </c>
      <c r="AB1" s="2" t="s">
        <v>26</v>
      </c>
      <c r="AC1" s="4"/>
      <c r="AD1" s="4"/>
      <c r="AE1" s="4"/>
    </row>
    <row r="2" ht="15.75" customHeight="1">
      <c r="A2" s="5"/>
      <c r="B2" s="6" t="s">
        <v>27</v>
      </c>
      <c r="C2" s="1" t="s">
        <v>28</v>
      </c>
      <c r="D2" s="7">
        <f t="shared" ref="D2:D75" si="1">ROUND(3.2 + (13*(Z:Z) + 3*((X:X) +(AA:AA)) - 2*(Y:Y))/(N:N), 2)
</f>
        <v>4.46</v>
      </c>
      <c r="E2" s="8">
        <v>4.89</v>
      </c>
      <c r="F2" s="9">
        <f t="shared" ref="F2:F75" si="2">ROUND((D:D)-(E:E), 2)</f>
        <v>-0.43</v>
      </c>
      <c r="G2" s="8">
        <f t="shared" ref="G2:G75" si="3">ROUND(9*((V:V)/(N:N)), 2)</f>
        <v>6.69</v>
      </c>
      <c r="H2" s="8">
        <v>1.51</v>
      </c>
      <c r="I2" s="10">
        <v>10.8</v>
      </c>
      <c r="J2" s="11">
        <f t="shared" ref="J2:J75" si="4">ROUND((Y:Y)/(X:X), 2)</f>
        <v>2.33</v>
      </c>
      <c r="K2" s="8">
        <f t="shared" ref="K2:K75" si="5">ROUND(9*((X:X)/(N:N)), 2)</f>
        <v>4.63</v>
      </c>
      <c r="L2" s="12">
        <f t="shared" ref="L2:L75" si="6">ROUND(9*((Z:Z)/(N:N)), 2)</f>
        <v>0.9</v>
      </c>
      <c r="M2" s="8">
        <f t="shared" ref="M2:M75" si="7">ROUND(100*(Z:Z)/(U:U), 2)</f>
        <v>10</v>
      </c>
      <c r="N2" s="9">
        <v>70.0</v>
      </c>
      <c r="O2" s="1">
        <v>1.0</v>
      </c>
      <c r="P2" s="1">
        <v>25.0</v>
      </c>
      <c r="Q2" s="1">
        <v>5.0</v>
      </c>
      <c r="R2" s="1">
        <v>6.0</v>
      </c>
      <c r="S2" s="1">
        <v>7.0</v>
      </c>
      <c r="T2" s="1">
        <v>6.0</v>
      </c>
      <c r="U2" s="1">
        <v>70.0</v>
      </c>
      <c r="V2" s="1">
        <v>52.0</v>
      </c>
      <c r="W2" s="1">
        <v>38.0</v>
      </c>
      <c r="X2" s="1">
        <v>36.0</v>
      </c>
      <c r="Y2" s="1">
        <v>84.0</v>
      </c>
      <c r="Z2" s="1">
        <v>7.0</v>
      </c>
      <c r="AA2" s="4">
        <v>19.0</v>
      </c>
      <c r="AB2" s="1" t="s">
        <v>29</v>
      </c>
      <c r="AC2" s="4"/>
      <c r="AD2" s="4"/>
      <c r="AE2" s="4"/>
    </row>
    <row r="3" ht="15.75" customHeight="1">
      <c r="A3" s="13"/>
      <c r="B3" s="6" t="s">
        <v>30</v>
      </c>
      <c r="C3" s="1" t="s">
        <v>31</v>
      </c>
      <c r="D3" s="7">
        <f t="shared" si="1"/>
        <v>4.39</v>
      </c>
      <c r="E3" s="12">
        <v>5.44</v>
      </c>
      <c r="F3" s="9">
        <f t="shared" si="2"/>
        <v>-1.05</v>
      </c>
      <c r="G3" s="14">
        <f t="shared" si="3"/>
        <v>6</v>
      </c>
      <c r="H3" s="14">
        <v>1.37</v>
      </c>
      <c r="I3" s="15">
        <v>11.44</v>
      </c>
      <c r="J3" s="11">
        <f t="shared" si="4"/>
        <v>2.64</v>
      </c>
      <c r="K3" s="8">
        <f t="shared" si="5"/>
        <v>4.33</v>
      </c>
      <c r="L3" s="12">
        <f t="shared" si="6"/>
        <v>1.22</v>
      </c>
      <c r="M3" s="12">
        <f t="shared" si="7"/>
        <v>15.28</v>
      </c>
      <c r="N3" s="9">
        <v>81.0</v>
      </c>
      <c r="O3" s="1">
        <v>5.0</v>
      </c>
      <c r="P3" s="1">
        <v>15.0</v>
      </c>
      <c r="Q3" s="1">
        <v>15.0</v>
      </c>
      <c r="R3" s="1">
        <v>10.0</v>
      </c>
      <c r="S3" s="1">
        <v>3.0</v>
      </c>
      <c r="T3" s="1">
        <v>0.0</v>
      </c>
      <c r="U3" s="1">
        <v>72.0</v>
      </c>
      <c r="V3" s="1">
        <v>54.0</v>
      </c>
      <c r="W3" s="1">
        <v>49.0</v>
      </c>
      <c r="X3" s="1">
        <v>39.0</v>
      </c>
      <c r="Y3" s="1">
        <v>103.0</v>
      </c>
      <c r="Z3" s="15">
        <v>11.0</v>
      </c>
      <c r="AA3" s="4">
        <v>14.0</v>
      </c>
      <c r="AB3" s="16" t="s">
        <v>29</v>
      </c>
      <c r="AC3" s="4"/>
      <c r="AD3" s="4"/>
      <c r="AE3" s="4"/>
    </row>
    <row r="4" ht="15.75" customHeight="1">
      <c r="A4" s="5"/>
      <c r="B4" s="6" t="s">
        <v>32</v>
      </c>
      <c r="C4" s="1" t="s">
        <v>33</v>
      </c>
      <c r="D4" s="7">
        <f t="shared" si="1"/>
        <v>4.36</v>
      </c>
      <c r="E4" s="10">
        <v>3.71</v>
      </c>
      <c r="F4" s="9">
        <f t="shared" si="2"/>
        <v>0.65</v>
      </c>
      <c r="G4" s="10">
        <f t="shared" si="3"/>
        <v>4.9</v>
      </c>
      <c r="H4" s="10">
        <v>1.28</v>
      </c>
      <c r="I4" s="12">
        <v>7.01</v>
      </c>
      <c r="J4" s="17">
        <f t="shared" si="4"/>
        <v>2.94</v>
      </c>
      <c r="K4" s="15">
        <f t="shared" si="5"/>
        <v>2.38</v>
      </c>
      <c r="L4" s="12">
        <f t="shared" si="6"/>
        <v>1.06</v>
      </c>
      <c r="M4" s="12">
        <f t="shared" si="7"/>
        <v>11.59</v>
      </c>
      <c r="N4" s="9">
        <v>68.0</v>
      </c>
      <c r="O4" s="1">
        <v>3.0</v>
      </c>
      <c r="P4" s="1">
        <v>15.0</v>
      </c>
      <c r="Q4" s="1">
        <v>9.0</v>
      </c>
      <c r="R4" s="1">
        <v>6.0</v>
      </c>
      <c r="S4" s="1">
        <v>6.0</v>
      </c>
      <c r="T4" s="1">
        <v>0.0</v>
      </c>
      <c r="U4" s="1">
        <v>69.0</v>
      </c>
      <c r="V4" s="1">
        <v>37.0</v>
      </c>
      <c r="W4" s="1">
        <v>28.0</v>
      </c>
      <c r="X4" s="1">
        <v>18.0</v>
      </c>
      <c r="Y4" s="1">
        <v>53.0</v>
      </c>
      <c r="Z4" s="1">
        <v>8.0</v>
      </c>
      <c r="AA4" s="4">
        <v>9.0</v>
      </c>
      <c r="AB4" s="16" t="s">
        <v>29</v>
      </c>
      <c r="AC4" s="4"/>
      <c r="AD4" s="4"/>
      <c r="AE4" s="4"/>
    </row>
    <row r="5" ht="15.75" customHeight="1">
      <c r="A5" s="5"/>
      <c r="B5" s="6" t="s">
        <v>34</v>
      </c>
      <c r="C5" s="1" t="s">
        <v>35</v>
      </c>
      <c r="D5" s="7">
        <f t="shared" si="1"/>
        <v>4.28</v>
      </c>
      <c r="E5" s="8">
        <v>5.03</v>
      </c>
      <c r="F5" s="9">
        <f t="shared" si="2"/>
        <v>-0.75</v>
      </c>
      <c r="G5" s="8">
        <f t="shared" si="3"/>
        <v>6.22</v>
      </c>
      <c r="H5" s="14">
        <v>1.34</v>
      </c>
      <c r="I5" s="8">
        <v>7.9</v>
      </c>
      <c r="J5" s="18">
        <f t="shared" si="4"/>
        <v>2.29</v>
      </c>
      <c r="K5" s="14">
        <f t="shared" si="5"/>
        <v>3.47</v>
      </c>
      <c r="L5" s="12">
        <f t="shared" si="6"/>
        <v>0.87</v>
      </c>
      <c r="M5" s="8">
        <f t="shared" si="7"/>
        <v>10</v>
      </c>
      <c r="N5" s="9">
        <v>62.2</v>
      </c>
      <c r="O5" s="1">
        <v>1.0</v>
      </c>
      <c r="P5" s="1">
        <v>17.0</v>
      </c>
      <c r="Q5" s="1">
        <v>11.0</v>
      </c>
      <c r="R5" s="1">
        <v>5.0</v>
      </c>
      <c r="S5" s="1">
        <v>5.0</v>
      </c>
      <c r="T5" s="1">
        <v>0.0</v>
      </c>
      <c r="U5" s="1">
        <v>60.0</v>
      </c>
      <c r="V5" s="1">
        <v>43.0</v>
      </c>
      <c r="W5" s="1">
        <v>35.0</v>
      </c>
      <c r="X5" s="1">
        <v>24.0</v>
      </c>
      <c r="Y5" s="1">
        <v>55.0</v>
      </c>
      <c r="Z5" s="1">
        <v>6.0</v>
      </c>
      <c r="AA5" s="4">
        <v>9.0</v>
      </c>
      <c r="AB5" s="16" t="s">
        <v>29</v>
      </c>
      <c r="AC5" s="4"/>
      <c r="AD5" s="4"/>
      <c r="AE5" s="4"/>
    </row>
    <row r="6" ht="15.75" customHeight="1">
      <c r="A6" s="5"/>
      <c r="B6" s="6" t="s">
        <v>36</v>
      </c>
      <c r="C6" s="1" t="s">
        <v>37</v>
      </c>
      <c r="D6" s="7">
        <f t="shared" si="1"/>
        <v>4.27</v>
      </c>
      <c r="E6" s="12">
        <v>6.88</v>
      </c>
      <c r="F6" s="9">
        <f t="shared" si="2"/>
        <v>-2.61</v>
      </c>
      <c r="G6" s="19">
        <f t="shared" si="3"/>
        <v>8.02</v>
      </c>
      <c r="H6" s="8">
        <v>1.5</v>
      </c>
      <c r="I6" s="8">
        <v>8.23</v>
      </c>
      <c r="J6" s="11">
        <f t="shared" si="4"/>
        <v>2.77</v>
      </c>
      <c r="K6" s="10">
        <f t="shared" si="5"/>
        <v>2.99</v>
      </c>
      <c r="L6" s="12">
        <f t="shared" si="6"/>
        <v>0.95</v>
      </c>
      <c r="M6" s="8">
        <f t="shared" si="7"/>
        <v>8.97</v>
      </c>
      <c r="N6" s="9">
        <v>66.2</v>
      </c>
      <c r="O6" s="1">
        <v>2.0</v>
      </c>
      <c r="P6" s="1">
        <v>16.0</v>
      </c>
      <c r="Q6" s="1">
        <v>10.0</v>
      </c>
      <c r="R6" s="1">
        <v>4.0</v>
      </c>
      <c r="S6" s="1">
        <v>3.0</v>
      </c>
      <c r="T6" s="1">
        <v>0.0</v>
      </c>
      <c r="U6" s="1">
        <v>78.0</v>
      </c>
      <c r="V6" s="1">
        <v>59.0</v>
      </c>
      <c r="W6" s="1">
        <v>51.0</v>
      </c>
      <c r="X6" s="1">
        <v>22.0</v>
      </c>
      <c r="Y6" s="1">
        <v>61.0</v>
      </c>
      <c r="Z6" s="1">
        <v>7.0</v>
      </c>
      <c r="AA6" s="4">
        <v>12.0</v>
      </c>
      <c r="AB6" s="16" t="s">
        <v>29</v>
      </c>
      <c r="AC6" s="4"/>
      <c r="AD6" s="4"/>
      <c r="AE6" s="4"/>
    </row>
    <row r="7" ht="15.75" customHeight="1">
      <c r="A7" s="20"/>
      <c r="B7" s="6" t="s">
        <v>38</v>
      </c>
      <c r="C7" s="1" t="s">
        <v>39</v>
      </c>
      <c r="D7" s="7">
        <f t="shared" si="1"/>
        <v>4.25</v>
      </c>
      <c r="E7" s="12">
        <v>6.67</v>
      </c>
      <c r="F7" s="9">
        <f t="shared" si="2"/>
        <v>-2.42</v>
      </c>
      <c r="G7" s="19">
        <f t="shared" si="3"/>
        <v>8.66</v>
      </c>
      <c r="H7" s="12">
        <v>1.64</v>
      </c>
      <c r="I7" s="10">
        <v>10.57</v>
      </c>
      <c r="J7" s="18">
        <f t="shared" si="4"/>
        <v>2.1</v>
      </c>
      <c r="K7" s="12">
        <f t="shared" si="5"/>
        <v>5.06</v>
      </c>
      <c r="L7" s="8">
        <f t="shared" si="6"/>
        <v>0.82</v>
      </c>
      <c r="M7" s="8">
        <f t="shared" si="7"/>
        <v>8.33</v>
      </c>
      <c r="N7" s="9">
        <v>55.1</v>
      </c>
      <c r="O7" s="1">
        <v>0.0</v>
      </c>
      <c r="P7" s="1">
        <v>14.0</v>
      </c>
      <c r="Q7" s="1">
        <v>12.0</v>
      </c>
      <c r="R7" s="1">
        <v>4.0</v>
      </c>
      <c r="S7" s="1">
        <v>3.0</v>
      </c>
      <c r="T7" s="1">
        <v>0.0</v>
      </c>
      <c r="U7" s="1">
        <v>60.0</v>
      </c>
      <c r="V7" s="1">
        <v>53.0</v>
      </c>
      <c r="W7" s="1">
        <v>41.0</v>
      </c>
      <c r="X7" s="1">
        <v>31.0</v>
      </c>
      <c r="Y7" s="1">
        <v>65.0</v>
      </c>
      <c r="Z7" s="1">
        <v>5.0</v>
      </c>
      <c r="AA7" s="4">
        <v>10.0</v>
      </c>
      <c r="AB7" s="16" t="s">
        <v>40</v>
      </c>
      <c r="AC7" s="4"/>
      <c r="AD7" s="4"/>
      <c r="AE7" s="4"/>
    </row>
    <row r="8" ht="15.75" customHeight="1">
      <c r="A8" s="20"/>
      <c r="B8" s="6" t="s">
        <v>41</v>
      </c>
      <c r="C8" s="1" t="s">
        <v>42</v>
      </c>
      <c r="D8" s="7">
        <f t="shared" si="1"/>
        <v>4.25</v>
      </c>
      <c r="E8" s="15">
        <v>3.1</v>
      </c>
      <c r="F8" s="9">
        <f t="shared" si="2"/>
        <v>1.15</v>
      </c>
      <c r="G8" s="15">
        <f t="shared" si="3"/>
        <v>4.16</v>
      </c>
      <c r="H8" s="10">
        <v>1.25</v>
      </c>
      <c r="I8" s="14">
        <v>9.3</v>
      </c>
      <c r="J8" s="18">
        <f t="shared" si="4"/>
        <v>2.25</v>
      </c>
      <c r="K8" s="8">
        <f t="shared" si="5"/>
        <v>4.16</v>
      </c>
      <c r="L8" s="12">
        <f t="shared" si="6"/>
        <v>0.91</v>
      </c>
      <c r="M8" s="12">
        <f t="shared" si="7"/>
        <v>12.73</v>
      </c>
      <c r="N8" s="9">
        <v>69.2</v>
      </c>
      <c r="O8" s="1">
        <v>1.0</v>
      </c>
      <c r="P8" s="1">
        <v>17.0</v>
      </c>
      <c r="Q8" s="1">
        <v>13.0</v>
      </c>
      <c r="R8" s="1">
        <v>6.0</v>
      </c>
      <c r="S8" s="1">
        <v>2.0</v>
      </c>
      <c r="T8" s="1">
        <v>0.0</v>
      </c>
      <c r="U8" s="1">
        <v>55.0</v>
      </c>
      <c r="V8" s="1">
        <v>32.0</v>
      </c>
      <c r="W8" s="1">
        <v>24.0</v>
      </c>
      <c r="X8" s="1">
        <v>32.0</v>
      </c>
      <c r="Y8" s="1">
        <v>72.0</v>
      </c>
      <c r="Z8" s="1">
        <v>7.0</v>
      </c>
      <c r="AA8" s="4">
        <v>10.0</v>
      </c>
      <c r="AB8" s="16" t="s">
        <v>43</v>
      </c>
      <c r="AC8" s="4"/>
      <c r="AD8" s="4"/>
      <c r="AE8" s="4"/>
    </row>
    <row r="9" ht="15.75" customHeight="1">
      <c r="A9" s="20"/>
      <c r="B9" s="6" t="s">
        <v>44</v>
      </c>
      <c r="C9" s="1" t="s">
        <v>45</v>
      </c>
      <c r="D9" s="7">
        <f t="shared" si="1"/>
        <v>4.24</v>
      </c>
      <c r="E9" s="14">
        <v>4.11</v>
      </c>
      <c r="F9" s="9">
        <f t="shared" si="2"/>
        <v>0.13</v>
      </c>
      <c r="G9" s="8">
        <f t="shared" si="3"/>
        <v>6.79</v>
      </c>
      <c r="H9" s="8">
        <v>1.54</v>
      </c>
      <c r="I9" s="8">
        <v>7.89</v>
      </c>
      <c r="J9" s="21">
        <f t="shared" si="4"/>
        <v>1.56</v>
      </c>
      <c r="K9" s="12">
        <f t="shared" si="5"/>
        <v>5.05</v>
      </c>
      <c r="L9" s="10">
        <f t="shared" si="6"/>
        <v>0.47</v>
      </c>
      <c r="M9" s="10">
        <f t="shared" si="7"/>
        <v>5.36</v>
      </c>
      <c r="N9" s="9">
        <v>57.0</v>
      </c>
      <c r="O9" s="1">
        <v>0.0</v>
      </c>
      <c r="P9" s="1">
        <v>14.0</v>
      </c>
      <c r="Q9" s="1">
        <v>1.0</v>
      </c>
      <c r="R9" s="1">
        <v>4.0</v>
      </c>
      <c r="S9" s="1">
        <v>5.0</v>
      </c>
      <c r="T9" s="1">
        <v>1.0</v>
      </c>
      <c r="U9" s="1">
        <v>56.0</v>
      </c>
      <c r="V9" s="1">
        <v>43.0</v>
      </c>
      <c r="W9" s="1">
        <v>26.0</v>
      </c>
      <c r="X9" s="1">
        <v>32.0</v>
      </c>
      <c r="Y9" s="1">
        <v>50.0</v>
      </c>
      <c r="Z9" s="1">
        <v>3.0</v>
      </c>
      <c r="AA9" s="4">
        <v>8.0</v>
      </c>
      <c r="AB9" s="16" t="s">
        <v>46</v>
      </c>
      <c r="AC9" s="4"/>
      <c r="AD9" s="4"/>
      <c r="AE9" s="4"/>
    </row>
    <row r="10" ht="15.75" customHeight="1">
      <c r="A10" s="5"/>
      <c r="B10" s="6" t="s">
        <v>47</v>
      </c>
      <c r="C10" s="1" t="s">
        <v>48</v>
      </c>
      <c r="D10" s="7">
        <f t="shared" si="1"/>
        <v>4.21</v>
      </c>
      <c r="E10" s="8">
        <v>4.84</v>
      </c>
      <c r="F10" s="9">
        <f t="shared" si="2"/>
        <v>-0.63</v>
      </c>
      <c r="G10" s="14">
        <f t="shared" si="3"/>
        <v>5.45</v>
      </c>
      <c r="H10" s="8">
        <v>1.48</v>
      </c>
      <c r="I10" s="8">
        <v>8.22</v>
      </c>
      <c r="J10" s="22">
        <f t="shared" si="4"/>
        <v>1.24</v>
      </c>
      <c r="K10" s="12">
        <f t="shared" si="5"/>
        <v>6.63</v>
      </c>
      <c r="L10" s="15">
        <f t="shared" si="6"/>
        <v>0</v>
      </c>
      <c r="M10" s="15">
        <f t="shared" si="7"/>
        <v>0</v>
      </c>
      <c r="N10" s="9">
        <v>61.1</v>
      </c>
      <c r="O10" s="1">
        <v>1.0</v>
      </c>
      <c r="P10" s="1">
        <v>15.0</v>
      </c>
      <c r="Q10" s="1">
        <v>14.0</v>
      </c>
      <c r="R10" s="1">
        <v>6.0</v>
      </c>
      <c r="S10" s="1">
        <v>5.0</v>
      </c>
      <c r="T10" s="1">
        <v>0.0</v>
      </c>
      <c r="U10" s="1">
        <v>46.0</v>
      </c>
      <c r="V10" s="1">
        <v>37.0</v>
      </c>
      <c r="W10" s="1">
        <v>33.0</v>
      </c>
      <c r="X10" s="1">
        <v>45.0</v>
      </c>
      <c r="Y10" s="1">
        <v>56.0</v>
      </c>
      <c r="Z10" s="1">
        <v>0.0</v>
      </c>
      <c r="AA10" s="4">
        <v>13.0</v>
      </c>
      <c r="AB10" s="16" t="s">
        <v>29</v>
      </c>
      <c r="AC10" s="4"/>
      <c r="AD10" s="4"/>
      <c r="AE10" s="4"/>
    </row>
    <row r="11" ht="15.75" customHeight="1">
      <c r="A11" s="5"/>
      <c r="B11" s="6" t="s">
        <v>49</v>
      </c>
      <c r="C11" s="1" t="s">
        <v>50</v>
      </c>
      <c r="D11" s="7">
        <f t="shared" si="1"/>
        <v>4.21</v>
      </c>
      <c r="E11" s="12">
        <v>5.72</v>
      </c>
      <c r="F11" s="9">
        <f t="shared" si="2"/>
        <v>-1.51</v>
      </c>
      <c r="G11" s="12">
        <f t="shared" si="3"/>
        <v>7.37</v>
      </c>
      <c r="H11" s="12">
        <v>1.55</v>
      </c>
      <c r="I11" s="8">
        <v>7.94</v>
      </c>
      <c r="J11" s="17">
        <f t="shared" si="4"/>
        <v>3.13</v>
      </c>
      <c r="K11" s="10">
        <f t="shared" si="5"/>
        <v>2.56</v>
      </c>
      <c r="L11" s="12">
        <f t="shared" si="6"/>
        <v>1.12</v>
      </c>
      <c r="M11" s="8">
        <f t="shared" si="7"/>
        <v>9.72</v>
      </c>
      <c r="N11" s="9">
        <v>56.2</v>
      </c>
      <c r="O11" s="1">
        <v>0.0</v>
      </c>
      <c r="P11" s="1">
        <v>22.0</v>
      </c>
      <c r="Q11" s="1">
        <v>5.0</v>
      </c>
      <c r="R11" s="1">
        <v>3.0</v>
      </c>
      <c r="S11" s="1">
        <v>4.0</v>
      </c>
      <c r="T11" s="1">
        <v>1.0</v>
      </c>
      <c r="U11" s="1">
        <v>72.0</v>
      </c>
      <c r="V11" s="1">
        <v>46.0</v>
      </c>
      <c r="W11" s="1">
        <v>36.0</v>
      </c>
      <c r="X11" s="1">
        <v>16.0</v>
      </c>
      <c r="Y11" s="1">
        <v>50.0</v>
      </c>
      <c r="Z11" s="1">
        <v>7.0</v>
      </c>
      <c r="AA11" s="4">
        <v>6.0</v>
      </c>
      <c r="AB11" s="16" t="s">
        <v>29</v>
      </c>
      <c r="AC11" s="4"/>
      <c r="AD11" s="4"/>
      <c r="AE11" s="4"/>
    </row>
    <row r="12" ht="15.75" customHeight="1">
      <c r="A12" s="5"/>
      <c r="B12" s="6" t="s">
        <v>51</v>
      </c>
      <c r="C12" s="1" t="s">
        <v>52</v>
      </c>
      <c r="D12" s="7">
        <f t="shared" si="1"/>
        <v>4.21</v>
      </c>
      <c r="E12" s="12">
        <v>5.82</v>
      </c>
      <c r="F12" s="9">
        <f t="shared" si="2"/>
        <v>-1.61</v>
      </c>
      <c r="G12" s="8">
        <f t="shared" si="3"/>
        <v>6.89</v>
      </c>
      <c r="H12" s="12">
        <v>1.74</v>
      </c>
      <c r="I12" s="12">
        <v>7.16</v>
      </c>
      <c r="J12" s="22">
        <f t="shared" si="4"/>
        <v>1.17</v>
      </c>
      <c r="K12" s="12">
        <f t="shared" si="5"/>
        <v>6.14</v>
      </c>
      <c r="L12" s="15">
        <f t="shared" si="6"/>
        <v>0.15</v>
      </c>
      <c r="M12" s="15">
        <f t="shared" si="7"/>
        <v>1.56</v>
      </c>
      <c r="N12" s="9">
        <v>60.1</v>
      </c>
      <c r="O12" s="1">
        <v>0.0</v>
      </c>
      <c r="P12" s="1">
        <v>19.0</v>
      </c>
      <c r="Q12" s="1">
        <v>9.0</v>
      </c>
      <c r="R12" s="1">
        <v>5.0</v>
      </c>
      <c r="S12" s="1">
        <v>5.0</v>
      </c>
      <c r="T12" s="1">
        <v>3.0</v>
      </c>
      <c r="U12" s="1">
        <v>64.0</v>
      </c>
      <c r="V12" s="1">
        <v>46.0</v>
      </c>
      <c r="W12" s="1">
        <v>39.0</v>
      </c>
      <c r="X12" s="1">
        <v>41.0</v>
      </c>
      <c r="Y12" s="1">
        <v>48.0</v>
      </c>
      <c r="Z12" s="1">
        <v>1.0</v>
      </c>
      <c r="AA12" s="4">
        <v>7.0</v>
      </c>
      <c r="AB12" s="16" t="s">
        <v>29</v>
      </c>
      <c r="AC12" s="4"/>
      <c r="AD12" s="4"/>
      <c r="AE12" s="4"/>
    </row>
    <row r="13" ht="15.75" customHeight="1">
      <c r="A13" s="20"/>
      <c r="B13" s="6" t="s">
        <v>53</v>
      </c>
      <c r="C13" s="1" t="s">
        <v>54</v>
      </c>
      <c r="D13" s="7">
        <f t="shared" si="1"/>
        <v>4.2</v>
      </c>
      <c r="E13" s="8">
        <v>5.23</v>
      </c>
      <c r="F13" s="9">
        <f t="shared" si="2"/>
        <v>-1.03</v>
      </c>
      <c r="G13" s="8">
        <f t="shared" si="3"/>
        <v>6.64</v>
      </c>
      <c r="H13" s="12">
        <v>1.67</v>
      </c>
      <c r="I13" s="14">
        <v>9.78</v>
      </c>
      <c r="J13" s="21">
        <f t="shared" si="4"/>
        <v>1.61</v>
      </c>
      <c r="K13" s="12">
        <f t="shared" si="5"/>
        <v>6.08</v>
      </c>
      <c r="L13" s="10">
        <f t="shared" si="6"/>
        <v>0.41</v>
      </c>
      <c r="M13" s="10">
        <f t="shared" si="7"/>
        <v>4.62</v>
      </c>
      <c r="N13" s="9">
        <v>65.1</v>
      </c>
      <c r="O13" s="1">
        <v>2.0</v>
      </c>
      <c r="P13" s="1">
        <v>17.0</v>
      </c>
      <c r="Q13" s="1">
        <v>13.0</v>
      </c>
      <c r="R13" s="1">
        <v>7.0</v>
      </c>
      <c r="S13" s="1">
        <v>4.0</v>
      </c>
      <c r="T13" s="1">
        <v>1.0</v>
      </c>
      <c r="U13" s="1">
        <v>65.0</v>
      </c>
      <c r="V13" s="1">
        <v>48.0</v>
      </c>
      <c r="W13" s="1">
        <v>38.0</v>
      </c>
      <c r="X13" s="1">
        <v>44.0</v>
      </c>
      <c r="Y13" s="1">
        <v>71.0</v>
      </c>
      <c r="Z13" s="1">
        <v>3.0</v>
      </c>
      <c r="AA13" s="4">
        <v>12.0</v>
      </c>
      <c r="AB13" s="16" t="s">
        <v>55</v>
      </c>
      <c r="AC13" s="4"/>
      <c r="AD13" s="4"/>
      <c r="AE13" s="4"/>
    </row>
    <row r="14" ht="15.75" customHeight="1">
      <c r="A14" s="5"/>
      <c r="B14" s="6" t="s">
        <v>56</v>
      </c>
      <c r="C14" s="1" t="s">
        <v>57</v>
      </c>
      <c r="D14" s="7">
        <f t="shared" si="1"/>
        <v>4.19</v>
      </c>
      <c r="E14" s="14">
        <v>4.44</v>
      </c>
      <c r="F14" s="9">
        <f t="shared" si="2"/>
        <v>-0.25</v>
      </c>
      <c r="G14" s="8">
        <f t="shared" si="3"/>
        <v>6.78</v>
      </c>
      <c r="H14" s="10">
        <v>1.27</v>
      </c>
      <c r="I14" s="12">
        <v>7.52</v>
      </c>
      <c r="J14" s="11">
        <f t="shared" si="4"/>
        <v>2.44</v>
      </c>
      <c r="K14" s="10">
        <f t="shared" si="5"/>
        <v>3.08</v>
      </c>
      <c r="L14" s="14">
        <f t="shared" si="6"/>
        <v>0.62</v>
      </c>
      <c r="M14" s="8">
        <f t="shared" si="7"/>
        <v>7.35</v>
      </c>
      <c r="N14" s="9">
        <v>73.0</v>
      </c>
      <c r="O14" s="1">
        <v>5.0</v>
      </c>
      <c r="P14" s="1">
        <v>16.0</v>
      </c>
      <c r="Q14" s="1">
        <v>16.0</v>
      </c>
      <c r="R14" s="1">
        <v>9.0</v>
      </c>
      <c r="S14" s="1">
        <v>3.0</v>
      </c>
      <c r="T14" s="1">
        <v>0.0</v>
      </c>
      <c r="U14" s="1">
        <v>68.0</v>
      </c>
      <c r="V14" s="1">
        <v>55.0</v>
      </c>
      <c r="W14" s="1">
        <v>36.0</v>
      </c>
      <c r="X14" s="1">
        <v>25.0</v>
      </c>
      <c r="Y14" s="1">
        <v>61.0</v>
      </c>
      <c r="Z14" s="1">
        <v>5.0</v>
      </c>
      <c r="AA14" s="4">
        <v>18.0</v>
      </c>
      <c r="AB14" s="16" t="s">
        <v>29</v>
      </c>
      <c r="AC14" s="4"/>
      <c r="AD14" s="4"/>
      <c r="AE14" s="4"/>
    </row>
    <row r="15" ht="15.75" customHeight="1">
      <c r="A15" s="5"/>
      <c r="B15" s="6" t="s">
        <v>58</v>
      </c>
      <c r="C15" s="1" t="s">
        <v>59</v>
      </c>
      <c r="D15" s="7">
        <f t="shared" si="1"/>
        <v>4.18</v>
      </c>
      <c r="E15" s="8">
        <v>5.04</v>
      </c>
      <c r="F15" s="9">
        <f t="shared" si="2"/>
        <v>-0.86</v>
      </c>
      <c r="G15" s="8">
        <f t="shared" si="3"/>
        <v>6.37</v>
      </c>
      <c r="H15" s="12">
        <v>1.68</v>
      </c>
      <c r="I15" s="12">
        <v>7.32</v>
      </c>
      <c r="J15" s="22">
        <f t="shared" si="4"/>
        <v>1.22</v>
      </c>
      <c r="K15" s="12">
        <f t="shared" si="5"/>
        <v>6.04</v>
      </c>
      <c r="L15" s="15">
        <f t="shared" si="6"/>
        <v>0</v>
      </c>
      <c r="M15" s="15">
        <f t="shared" si="7"/>
        <v>0</v>
      </c>
      <c r="N15" s="9">
        <v>55.1</v>
      </c>
      <c r="O15" s="1">
        <v>3.0</v>
      </c>
      <c r="P15" s="1">
        <v>16.0</v>
      </c>
      <c r="Q15" s="1">
        <v>8.0</v>
      </c>
      <c r="R15" s="1">
        <v>2.0</v>
      </c>
      <c r="S15" s="1">
        <v>5.0</v>
      </c>
      <c r="T15" s="1">
        <v>1.0</v>
      </c>
      <c r="U15" s="1">
        <v>56.0</v>
      </c>
      <c r="V15" s="1">
        <v>39.0</v>
      </c>
      <c r="W15" s="1">
        <v>31.0</v>
      </c>
      <c r="X15" s="1">
        <v>37.0</v>
      </c>
      <c r="Y15" s="1">
        <v>45.0</v>
      </c>
      <c r="Z15" s="1">
        <v>0.0</v>
      </c>
      <c r="AA15" s="4">
        <v>11.0</v>
      </c>
      <c r="AB15" s="16" t="s">
        <v>29</v>
      </c>
      <c r="AC15" s="4"/>
      <c r="AD15" s="4"/>
      <c r="AE15" s="4"/>
    </row>
    <row r="16" ht="15.75" customHeight="1">
      <c r="A16" s="5"/>
      <c r="B16" s="6" t="s">
        <v>60</v>
      </c>
      <c r="C16" s="1" t="s">
        <v>61</v>
      </c>
      <c r="D16" s="7">
        <f t="shared" si="1"/>
        <v>4.14</v>
      </c>
      <c r="E16" s="12">
        <v>5.91</v>
      </c>
      <c r="F16" s="9">
        <f t="shared" si="2"/>
        <v>-1.77</v>
      </c>
      <c r="G16" s="12">
        <f t="shared" si="3"/>
        <v>7.86</v>
      </c>
      <c r="H16" s="12">
        <v>1.56</v>
      </c>
      <c r="I16" s="10">
        <v>10.07</v>
      </c>
      <c r="J16" s="18">
        <f t="shared" si="4"/>
        <v>2.1</v>
      </c>
      <c r="K16" s="8">
        <f t="shared" si="5"/>
        <v>4.81</v>
      </c>
      <c r="L16" s="8">
        <f t="shared" si="6"/>
        <v>0.8</v>
      </c>
      <c r="M16" s="8">
        <f t="shared" si="7"/>
        <v>8.62</v>
      </c>
      <c r="N16" s="9">
        <v>56.1</v>
      </c>
      <c r="O16" s="1">
        <v>2.0</v>
      </c>
      <c r="P16" s="1">
        <v>15.0</v>
      </c>
      <c r="Q16" s="1">
        <v>14.0</v>
      </c>
      <c r="R16" s="1">
        <v>3.0</v>
      </c>
      <c r="S16" s="1">
        <v>6.0</v>
      </c>
      <c r="T16" s="1">
        <v>0.0</v>
      </c>
      <c r="U16" s="1">
        <v>58.0</v>
      </c>
      <c r="V16" s="1">
        <v>49.0</v>
      </c>
      <c r="W16" s="1">
        <v>37.0</v>
      </c>
      <c r="X16" s="1">
        <v>30.0</v>
      </c>
      <c r="Y16" s="1">
        <v>63.0</v>
      </c>
      <c r="Z16" s="1">
        <v>5.0</v>
      </c>
      <c r="AA16" s="4">
        <v>8.0</v>
      </c>
      <c r="AB16" s="16" t="s">
        <v>29</v>
      </c>
      <c r="AC16" s="4"/>
      <c r="AD16" s="4"/>
      <c r="AE16" s="4"/>
    </row>
    <row r="17" ht="15.75" customHeight="1">
      <c r="A17" s="23"/>
      <c r="B17" s="6" t="s">
        <v>62</v>
      </c>
      <c r="C17" s="1" t="s">
        <v>63</v>
      </c>
      <c r="D17" s="7">
        <f t="shared" si="1"/>
        <v>4.12</v>
      </c>
      <c r="E17" s="8">
        <v>4.79</v>
      </c>
      <c r="F17" s="9">
        <f t="shared" si="2"/>
        <v>-0.67</v>
      </c>
      <c r="G17" s="8">
        <f t="shared" si="3"/>
        <v>6.89</v>
      </c>
      <c r="H17" s="8">
        <v>1.5</v>
      </c>
      <c r="I17" s="14">
        <v>9.57</v>
      </c>
      <c r="J17" s="11">
        <f t="shared" si="4"/>
        <v>2.52</v>
      </c>
      <c r="K17" s="14">
        <f t="shared" si="5"/>
        <v>3.82</v>
      </c>
      <c r="L17" s="12">
        <f t="shared" si="6"/>
        <v>1.23</v>
      </c>
      <c r="M17" s="12">
        <f t="shared" si="7"/>
        <v>12.66</v>
      </c>
      <c r="N17" s="9">
        <v>73.1</v>
      </c>
      <c r="O17" s="1">
        <v>1.0</v>
      </c>
      <c r="P17" s="1">
        <v>14.0</v>
      </c>
      <c r="Q17" s="1">
        <v>14.0</v>
      </c>
      <c r="R17" s="1">
        <v>7.0</v>
      </c>
      <c r="S17" s="1">
        <v>5.0</v>
      </c>
      <c r="T17" s="1">
        <v>0.0</v>
      </c>
      <c r="U17" s="1">
        <v>79.0</v>
      </c>
      <c r="V17" s="1">
        <v>56.0</v>
      </c>
      <c r="W17" s="1">
        <v>39.0</v>
      </c>
      <c r="X17" s="1">
        <v>31.0</v>
      </c>
      <c r="Y17" s="1">
        <v>78.0</v>
      </c>
      <c r="Z17" s="1">
        <v>10.0</v>
      </c>
      <c r="AA17" s="4"/>
      <c r="AB17" s="16" t="s">
        <v>64</v>
      </c>
      <c r="AC17" s="4"/>
      <c r="AD17" s="4"/>
      <c r="AE17" s="4"/>
    </row>
    <row r="18" ht="15.75" customHeight="1">
      <c r="A18" s="20"/>
      <c r="B18" s="6" t="s">
        <v>65</v>
      </c>
      <c r="C18" s="1" t="s">
        <v>66</v>
      </c>
      <c r="D18" s="7">
        <f t="shared" si="1"/>
        <v>4.08</v>
      </c>
      <c r="E18" s="10">
        <v>3.95</v>
      </c>
      <c r="F18" s="9">
        <f t="shared" si="2"/>
        <v>0.13</v>
      </c>
      <c r="G18" s="10">
        <f t="shared" si="3"/>
        <v>4.42</v>
      </c>
      <c r="H18" s="14">
        <v>1.35</v>
      </c>
      <c r="I18" s="14">
        <v>9.0</v>
      </c>
      <c r="J18" s="18">
        <f t="shared" si="4"/>
        <v>2.11</v>
      </c>
      <c r="K18" s="8">
        <f t="shared" si="5"/>
        <v>4.26</v>
      </c>
      <c r="L18" s="8">
        <f t="shared" si="6"/>
        <v>0.79</v>
      </c>
      <c r="M18" s="8">
        <f t="shared" si="7"/>
        <v>10</v>
      </c>
      <c r="N18" s="9">
        <v>57.0</v>
      </c>
      <c r="O18" s="1">
        <v>0.0</v>
      </c>
      <c r="P18" s="1">
        <v>15.0</v>
      </c>
      <c r="Q18" s="1">
        <v>0.0</v>
      </c>
      <c r="R18" s="1">
        <v>5.0</v>
      </c>
      <c r="S18" s="1">
        <v>3.0</v>
      </c>
      <c r="T18" s="1">
        <v>1.0</v>
      </c>
      <c r="U18" s="1">
        <v>50.0</v>
      </c>
      <c r="V18" s="1">
        <v>28.0</v>
      </c>
      <c r="W18" s="1">
        <v>25.0</v>
      </c>
      <c r="X18" s="1">
        <v>27.0</v>
      </c>
      <c r="Y18" s="1">
        <v>57.0</v>
      </c>
      <c r="Z18" s="1">
        <v>5.0</v>
      </c>
      <c r="AA18" s="4">
        <v>6.0</v>
      </c>
      <c r="AB18" s="16" t="s">
        <v>67</v>
      </c>
      <c r="AC18" s="4"/>
      <c r="AD18" s="4"/>
      <c r="AE18" s="4"/>
    </row>
    <row r="19" ht="15.75" customHeight="1">
      <c r="A19" s="5"/>
      <c r="B19" s="6" t="s">
        <v>68</v>
      </c>
      <c r="C19" s="1" t="s">
        <v>69</v>
      </c>
      <c r="D19" s="7">
        <f t="shared" si="1"/>
        <v>4.06</v>
      </c>
      <c r="E19" s="12">
        <v>7.14</v>
      </c>
      <c r="F19" s="9">
        <f t="shared" si="2"/>
        <v>-3.08</v>
      </c>
      <c r="G19" s="19">
        <f t="shared" si="3"/>
        <v>8.86</v>
      </c>
      <c r="H19" s="12">
        <v>1.73</v>
      </c>
      <c r="I19" s="14">
        <v>9.71</v>
      </c>
      <c r="J19" s="18">
        <f t="shared" si="4"/>
        <v>2.27</v>
      </c>
      <c r="K19" s="8">
        <f t="shared" si="5"/>
        <v>4.29</v>
      </c>
      <c r="L19" s="14">
        <f t="shared" si="6"/>
        <v>0.57</v>
      </c>
      <c r="M19" s="10">
        <f t="shared" si="7"/>
        <v>5.06</v>
      </c>
      <c r="N19" s="9">
        <v>63.0</v>
      </c>
      <c r="O19" s="1">
        <v>1.0</v>
      </c>
      <c r="P19" s="1">
        <v>17.0</v>
      </c>
      <c r="Q19" s="1">
        <v>4.0</v>
      </c>
      <c r="R19" s="1">
        <v>7.0</v>
      </c>
      <c r="S19" s="1">
        <v>4.0</v>
      </c>
      <c r="T19" s="1">
        <v>0.0</v>
      </c>
      <c r="U19" s="1">
        <v>79.0</v>
      </c>
      <c r="V19" s="1">
        <v>62.0</v>
      </c>
      <c r="W19" s="1">
        <v>50.0</v>
      </c>
      <c r="X19" s="1">
        <v>30.0</v>
      </c>
      <c r="Y19" s="1">
        <v>68.0</v>
      </c>
      <c r="Z19" s="1">
        <v>4.0</v>
      </c>
      <c r="AA19" s="4">
        <v>16.0</v>
      </c>
      <c r="AB19" s="16" t="s">
        <v>29</v>
      </c>
      <c r="AC19" s="4"/>
      <c r="AD19" s="4"/>
      <c r="AE19" s="4"/>
    </row>
    <row r="20" ht="15.75" customHeight="1">
      <c r="A20" s="5"/>
      <c r="B20" s="6" t="s">
        <v>70</v>
      </c>
      <c r="C20" s="1" t="s">
        <v>71</v>
      </c>
      <c r="D20" s="7">
        <f t="shared" si="1"/>
        <v>4.06</v>
      </c>
      <c r="E20" s="12">
        <v>6.88</v>
      </c>
      <c r="F20" s="9">
        <f t="shared" si="2"/>
        <v>-2.82</v>
      </c>
      <c r="G20" s="12">
        <f t="shared" si="3"/>
        <v>7.94</v>
      </c>
      <c r="H20" s="12">
        <v>1.78</v>
      </c>
      <c r="I20" s="19">
        <v>4.59</v>
      </c>
      <c r="J20" s="22">
        <f t="shared" si="4"/>
        <v>1.04</v>
      </c>
      <c r="K20" s="8">
        <f t="shared" si="5"/>
        <v>4.41</v>
      </c>
      <c r="L20" s="15">
        <f t="shared" si="6"/>
        <v>0</v>
      </c>
      <c r="M20" s="15">
        <f t="shared" si="7"/>
        <v>0</v>
      </c>
      <c r="N20" s="9">
        <v>51.0</v>
      </c>
      <c r="O20" s="1">
        <v>1.0</v>
      </c>
      <c r="P20" s="1">
        <v>11.0</v>
      </c>
      <c r="Q20" s="1">
        <v>8.0</v>
      </c>
      <c r="R20" s="1">
        <v>3.0</v>
      </c>
      <c r="S20" s="1">
        <v>4.0</v>
      </c>
      <c r="T20" s="1">
        <v>0.0</v>
      </c>
      <c r="U20" s="1">
        <v>66.0</v>
      </c>
      <c r="V20" s="1">
        <v>45.0</v>
      </c>
      <c r="W20" s="1">
        <v>39.0</v>
      </c>
      <c r="X20" s="1">
        <v>25.0</v>
      </c>
      <c r="Y20" s="1">
        <v>26.0</v>
      </c>
      <c r="Z20" s="1">
        <v>0.0</v>
      </c>
      <c r="AA20" s="4">
        <v>7.0</v>
      </c>
      <c r="AB20" s="16" t="s">
        <v>29</v>
      </c>
      <c r="AC20" s="4"/>
      <c r="AD20" s="4"/>
      <c r="AE20" s="4"/>
    </row>
    <row r="21" ht="15.75" customHeight="1">
      <c r="A21" s="5"/>
      <c r="B21" s="6" t="s">
        <v>72</v>
      </c>
      <c r="C21" s="1" t="s">
        <v>73</v>
      </c>
      <c r="D21" s="7">
        <f t="shared" si="1"/>
        <v>4</v>
      </c>
      <c r="E21" s="14">
        <v>4.72</v>
      </c>
      <c r="F21" s="9">
        <f t="shared" si="2"/>
        <v>-0.72</v>
      </c>
      <c r="G21" s="14">
        <f t="shared" si="3"/>
        <v>5.85</v>
      </c>
      <c r="H21" s="8">
        <v>1.42</v>
      </c>
      <c r="I21" s="12">
        <v>6.21</v>
      </c>
      <c r="J21" s="18">
        <f t="shared" si="4"/>
        <v>2</v>
      </c>
      <c r="K21" s="14">
        <f t="shared" si="5"/>
        <v>3.13</v>
      </c>
      <c r="L21" s="14">
        <f t="shared" si="6"/>
        <v>0.54</v>
      </c>
      <c r="M21" s="14">
        <f t="shared" si="7"/>
        <v>5.56</v>
      </c>
      <c r="N21" s="9">
        <v>66.2</v>
      </c>
      <c r="O21" s="1">
        <v>0.0</v>
      </c>
      <c r="P21" s="1">
        <v>28.0</v>
      </c>
      <c r="Q21" s="1">
        <v>2.0</v>
      </c>
      <c r="R21" s="1">
        <v>7.0</v>
      </c>
      <c r="S21" s="1">
        <v>2.0</v>
      </c>
      <c r="T21" s="1">
        <v>1.0</v>
      </c>
      <c r="U21" s="1">
        <v>72.0</v>
      </c>
      <c r="V21" s="1">
        <v>43.0</v>
      </c>
      <c r="W21" s="1">
        <v>35.0</v>
      </c>
      <c r="X21" s="1">
        <v>23.0</v>
      </c>
      <c r="Y21" s="1">
        <v>46.0</v>
      </c>
      <c r="Z21" s="1">
        <v>4.0</v>
      </c>
      <c r="AA21" s="4">
        <v>8.0</v>
      </c>
      <c r="AB21" s="16" t="s">
        <v>29</v>
      </c>
      <c r="AC21" s="4"/>
      <c r="AD21" s="4"/>
      <c r="AE21" s="4"/>
    </row>
    <row r="22" ht="15.75" customHeight="1">
      <c r="A22" s="20"/>
      <c r="B22" s="6" t="s">
        <v>74</v>
      </c>
      <c r="C22" s="1" t="s">
        <v>75</v>
      </c>
      <c r="D22" s="7">
        <f t="shared" si="1"/>
        <v>3.98</v>
      </c>
      <c r="E22" s="14">
        <v>4.18</v>
      </c>
      <c r="F22" s="9">
        <f t="shared" si="2"/>
        <v>-0.2</v>
      </c>
      <c r="G22" s="10">
        <f t="shared" si="3"/>
        <v>4.94</v>
      </c>
      <c r="H22" s="10">
        <v>1.29</v>
      </c>
      <c r="I22" s="14">
        <v>9.25</v>
      </c>
      <c r="J22" s="11">
        <f t="shared" si="4"/>
        <v>2.58</v>
      </c>
      <c r="K22" s="14">
        <f t="shared" si="5"/>
        <v>3.59</v>
      </c>
      <c r="L22" s="12">
        <f t="shared" si="6"/>
        <v>0.9</v>
      </c>
      <c r="M22" s="12">
        <f t="shared" si="7"/>
        <v>11.11</v>
      </c>
      <c r="N22" s="9">
        <v>60.1</v>
      </c>
      <c r="O22" s="1">
        <v>1.0</v>
      </c>
      <c r="P22" s="1">
        <v>16.0</v>
      </c>
      <c r="Q22" s="1">
        <v>8.0</v>
      </c>
      <c r="R22" s="1">
        <v>4.0</v>
      </c>
      <c r="S22" s="1">
        <v>5.0</v>
      </c>
      <c r="T22" s="1">
        <v>1.0</v>
      </c>
      <c r="U22" s="1">
        <v>54.0</v>
      </c>
      <c r="V22" s="1">
        <v>33.0</v>
      </c>
      <c r="W22" s="1">
        <v>28.0</v>
      </c>
      <c r="X22" s="1">
        <v>24.0</v>
      </c>
      <c r="Y22" s="1">
        <v>62.0</v>
      </c>
      <c r="Z22" s="1">
        <v>6.0</v>
      </c>
      <c r="AA22" s="4">
        <v>7.0</v>
      </c>
      <c r="AB22" s="16" t="s">
        <v>76</v>
      </c>
      <c r="AC22" s="4"/>
      <c r="AD22" s="4"/>
      <c r="AE22" s="4"/>
    </row>
    <row r="23" ht="15.75" customHeight="1">
      <c r="A23" s="20"/>
      <c r="B23" s="6" t="s">
        <v>77</v>
      </c>
      <c r="C23" s="1" t="s">
        <v>78</v>
      </c>
      <c r="D23" s="7">
        <f t="shared" si="1"/>
        <v>3.97</v>
      </c>
      <c r="E23" s="10">
        <v>3.68</v>
      </c>
      <c r="F23" s="9">
        <f t="shared" si="2"/>
        <v>0.29</v>
      </c>
      <c r="G23" s="15">
        <f t="shared" si="3"/>
        <v>4.04</v>
      </c>
      <c r="H23" s="15">
        <v>1.18</v>
      </c>
      <c r="I23" s="14">
        <v>8.81</v>
      </c>
      <c r="J23" s="18">
        <f t="shared" si="4"/>
        <v>2.19</v>
      </c>
      <c r="K23" s="8">
        <f t="shared" si="5"/>
        <v>4.04</v>
      </c>
      <c r="L23" s="8">
        <f t="shared" si="6"/>
        <v>0.79</v>
      </c>
      <c r="M23" s="12">
        <f t="shared" si="7"/>
        <v>11.86</v>
      </c>
      <c r="N23" s="9">
        <v>80.2</v>
      </c>
      <c r="O23" s="1">
        <v>2.0</v>
      </c>
      <c r="P23" s="1">
        <v>13.0</v>
      </c>
      <c r="Q23" s="1">
        <v>6.0</v>
      </c>
      <c r="R23" s="1">
        <v>11.0</v>
      </c>
      <c r="S23" s="1">
        <v>1.0</v>
      </c>
      <c r="T23" s="1">
        <v>0.0</v>
      </c>
      <c r="U23" s="1">
        <v>59.0</v>
      </c>
      <c r="V23" s="1">
        <v>36.0</v>
      </c>
      <c r="W23" s="1">
        <v>33.0</v>
      </c>
      <c r="X23" s="1">
        <v>36.0</v>
      </c>
      <c r="Y23" s="1">
        <v>79.0</v>
      </c>
      <c r="Z23" s="1">
        <v>7.0</v>
      </c>
      <c r="AA23" s="4">
        <v>7.0</v>
      </c>
      <c r="AB23" s="16" t="s">
        <v>79</v>
      </c>
      <c r="AC23" s="4"/>
      <c r="AD23" s="4"/>
      <c r="AE23" s="4"/>
    </row>
    <row r="24" ht="15.75" customHeight="1">
      <c r="A24" s="5"/>
      <c r="B24" s="6" t="s">
        <v>80</v>
      </c>
      <c r="C24" s="1" t="s">
        <v>81</v>
      </c>
      <c r="D24" s="7">
        <f t="shared" si="1"/>
        <v>3.95</v>
      </c>
      <c r="E24" s="8">
        <v>5.2</v>
      </c>
      <c r="F24" s="9">
        <f t="shared" si="2"/>
        <v>-1.25</v>
      </c>
      <c r="G24" s="14">
        <f t="shared" si="3"/>
        <v>5.91</v>
      </c>
      <c r="H24" s="12">
        <v>1.64</v>
      </c>
      <c r="I24" s="15">
        <v>13.22</v>
      </c>
      <c r="J24" s="21">
        <f t="shared" si="4"/>
        <v>1.77</v>
      </c>
      <c r="K24" s="19">
        <f t="shared" si="5"/>
        <v>7.45</v>
      </c>
      <c r="L24" s="8">
        <f t="shared" si="6"/>
        <v>0.7</v>
      </c>
      <c r="M24" s="8">
        <f t="shared" si="7"/>
        <v>9.62</v>
      </c>
      <c r="N24" s="9">
        <v>64.0</v>
      </c>
      <c r="O24" s="1">
        <v>0.0</v>
      </c>
      <c r="P24" s="1">
        <v>14.0</v>
      </c>
      <c r="Q24" s="1">
        <v>14.0</v>
      </c>
      <c r="R24" s="1">
        <v>6.0</v>
      </c>
      <c r="S24" s="1">
        <v>2.0</v>
      </c>
      <c r="T24" s="1">
        <v>0.0</v>
      </c>
      <c r="U24" s="1">
        <v>52.0</v>
      </c>
      <c r="V24" s="1">
        <v>42.0</v>
      </c>
      <c r="W24" s="1">
        <v>37.0</v>
      </c>
      <c r="X24" s="1">
        <v>53.0</v>
      </c>
      <c r="Y24" s="1">
        <v>94.0</v>
      </c>
      <c r="Z24" s="1">
        <v>5.0</v>
      </c>
      <c r="AA24" s="4">
        <v>4.0</v>
      </c>
      <c r="AB24" s="16" t="s">
        <v>29</v>
      </c>
      <c r="AC24" s="4"/>
      <c r="AD24" s="4"/>
      <c r="AE24" s="4"/>
    </row>
    <row r="25" ht="15.75" customHeight="1">
      <c r="A25" s="5"/>
      <c r="B25" s="6" t="s">
        <v>82</v>
      </c>
      <c r="C25" s="1" t="s">
        <v>83</v>
      </c>
      <c r="D25" s="7">
        <f t="shared" si="1"/>
        <v>3.89</v>
      </c>
      <c r="E25" s="14">
        <v>4.48</v>
      </c>
      <c r="F25" s="9">
        <f t="shared" si="2"/>
        <v>-0.59</v>
      </c>
      <c r="G25" s="8">
        <f t="shared" si="3"/>
        <v>6.23</v>
      </c>
      <c r="H25" s="14">
        <v>1.36</v>
      </c>
      <c r="I25" s="8">
        <v>7.65</v>
      </c>
      <c r="J25" s="17">
        <f t="shared" si="4"/>
        <v>3.31</v>
      </c>
      <c r="K25" s="15">
        <f t="shared" si="5"/>
        <v>2.32</v>
      </c>
      <c r="L25" s="8">
        <f t="shared" si="6"/>
        <v>0.72</v>
      </c>
      <c r="M25" s="8">
        <f t="shared" si="7"/>
        <v>7.25</v>
      </c>
      <c r="N25" s="9">
        <v>62.1</v>
      </c>
      <c r="O25" s="1">
        <v>0.0</v>
      </c>
      <c r="P25" s="1">
        <v>15.0</v>
      </c>
      <c r="Q25" s="1">
        <v>15.0</v>
      </c>
      <c r="R25" s="1">
        <v>4.0</v>
      </c>
      <c r="S25" s="1">
        <v>4.0</v>
      </c>
      <c r="T25" s="1">
        <v>0.0</v>
      </c>
      <c r="U25" s="1">
        <v>69.0</v>
      </c>
      <c r="V25" s="1">
        <v>43.0</v>
      </c>
      <c r="W25" s="1">
        <v>31.0</v>
      </c>
      <c r="X25" s="1">
        <v>16.0</v>
      </c>
      <c r="Y25" s="1">
        <v>53.0</v>
      </c>
      <c r="Z25" s="1">
        <v>5.0</v>
      </c>
      <c r="AA25" s="4">
        <v>12.0</v>
      </c>
      <c r="AB25" s="16" t="s">
        <v>29</v>
      </c>
      <c r="AC25" s="4"/>
      <c r="AD25" s="4"/>
      <c r="AE25" s="4"/>
    </row>
    <row r="26" ht="15.75" customHeight="1">
      <c r="A26" s="15"/>
      <c r="B26" s="6" t="s">
        <v>84</v>
      </c>
      <c r="C26" s="1" t="s">
        <v>85</v>
      </c>
      <c r="D26" s="7">
        <f t="shared" si="1"/>
        <v>3.88</v>
      </c>
      <c r="E26" s="10">
        <v>3.82</v>
      </c>
      <c r="F26" s="9">
        <f t="shared" si="2"/>
        <v>0.06</v>
      </c>
      <c r="G26" s="10">
        <f t="shared" si="3"/>
        <v>4.81</v>
      </c>
      <c r="H26" s="10">
        <v>1.19</v>
      </c>
      <c r="I26" s="15">
        <v>11.47</v>
      </c>
      <c r="J26" s="17">
        <f t="shared" si="4"/>
        <v>3</v>
      </c>
      <c r="K26" s="14">
        <f t="shared" si="5"/>
        <v>3.82</v>
      </c>
      <c r="L26" s="19">
        <f t="shared" si="6"/>
        <v>1.36</v>
      </c>
      <c r="M26" s="19">
        <f t="shared" si="7"/>
        <v>19.64</v>
      </c>
      <c r="N26" s="9">
        <v>73.0</v>
      </c>
      <c r="O26" s="1">
        <v>2.0</v>
      </c>
      <c r="P26" s="1">
        <v>15.0</v>
      </c>
      <c r="Q26" s="1">
        <v>15.0</v>
      </c>
      <c r="R26" s="1">
        <v>8.0</v>
      </c>
      <c r="S26" s="1">
        <v>3.0</v>
      </c>
      <c r="T26" s="1">
        <v>0.0</v>
      </c>
      <c r="U26" s="1">
        <v>56.0</v>
      </c>
      <c r="V26" s="1">
        <v>39.0</v>
      </c>
      <c r="W26" s="1">
        <v>31.0</v>
      </c>
      <c r="X26" s="1">
        <v>31.0</v>
      </c>
      <c r="Y26" s="1">
        <v>93.0</v>
      </c>
      <c r="Z26" s="15">
        <v>11.0</v>
      </c>
      <c r="AA26" s="4"/>
      <c r="AB26" s="16" t="s">
        <v>86</v>
      </c>
      <c r="AC26" s="4"/>
      <c r="AD26" s="4"/>
      <c r="AE26" s="4"/>
    </row>
    <row r="27" ht="15.75" customHeight="1">
      <c r="A27" s="20"/>
      <c r="B27" s="6" t="s">
        <v>87</v>
      </c>
      <c r="C27" s="1" t="s">
        <v>88</v>
      </c>
      <c r="D27" s="7">
        <f t="shared" si="1"/>
        <v>3.88</v>
      </c>
      <c r="E27" s="15">
        <v>2.97</v>
      </c>
      <c r="F27" s="9">
        <f t="shared" si="2"/>
        <v>0.91</v>
      </c>
      <c r="G27" s="10">
        <f t="shared" si="3"/>
        <v>4.63</v>
      </c>
      <c r="H27" s="14">
        <v>1.35</v>
      </c>
      <c r="I27" s="14">
        <v>9.2</v>
      </c>
      <c r="J27" s="18">
        <f t="shared" si="4"/>
        <v>2.3</v>
      </c>
      <c r="K27" s="14">
        <f t="shared" si="5"/>
        <v>4.04</v>
      </c>
      <c r="L27" s="12">
        <f t="shared" si="6"/>
        <v>0.9</v>
      </c>
      <c r="M27" s="12">
        <f t="shared" si="7"/>
        <v>10.91</v>
      </c>
      <c r="N27" s="9">
        <v>60.2</v>
      </c>
      <c r="O27" s="1">
        <v>0.0</v>
      </c>
      <c r="P27" s="1">
        <v>13.0</v>
      </c>
      <c r="Q27" s="1">
        <v>13.0</v>
      </c>
      <c r="R27" s="1">
        <v>9.0</v>
      </c>
      <c r="S27" s="1">
        <v>0.0</v>
      </c>
      <c r="T27" s="1">
        <v>0.0</v>
      </c>
      <c r="U27" s="1">
        <v>55.0</v>
      </c>
      <c r="V27" s="1">
        <v>31.0</v>
      </c>
      <c r="W27" s="1">
        <v>20.0</v>
      </c>
      <c r="X27" s="1">
        <v>27.0</v>
      </c>
      <c r="Y27" s="1">
        <v>62.0</v>
      </c>
      <c r="Z27" s="1">
        <v>6.0</v>
      </c>
      <c r="AA27" s="4">
        <v>2.0</v>
      </c>
      <c r="AB27" s="16" t="s">
        <v>89</v>
      </c>
      <c r="AC27" s="4"/>
      <c r="AD27" s="4"/>
      <c r="AE27" s="4"/>
    </row>
    <row r="28" ht="15.75" customHeight="1">
      <c r="A28" s="5"/>
      <c r="B28" s="6" t="s">
        <v>90</v>
      </c>
      <c r="C28" s="1" t="s">
        <v>91</v>
      </c>
      <c r="D28" s="7">
        <f t="shared" si="1"/>
        <v>3.87</v>
      </c>
      <c r="E28" s="12">
        <v>6.05</v>
      </c>
      <c r="F28" s="9">
        <f t="shared" si="2"/>
        <v>-2.18</v>
      </c>
      <c r="G28" s="12">
        <f t="shared" si="3"/>
        <v>7.19</v>
      </c>
      <c r="H28" s="12">
        <v>1.71</v>
      </c>
      <c r="I28" s="8">
        <v>8.51</v>
      </c>
      <c r="J28" s="21">
        <f t="shared" si="4"/>
        <v>1.95</v>
      </c>
      <c r="K28" s="8">
        <f t="shared" si="5"/>
        <v>4.38</v>
      </c>
      <c r="L28" s="14">
        <f t="shared" si="6"/>
        <v>0.56</v>
      </c>
      <c r="M28" s="10">
        <f t="shared" si="7"/>
        <v>5.1</v>
      </c>
      <c r="N28" s="9">
        <v>80.1</v>
      </c>
      <c r="O28" s="1">
        <v>1.0</v>
      </c>
      <c r="P28" s="1">
        <v>21.0</v>
      </c>
      <c r="Q28" s="1">
        <v>13.0</v>
      </c>
      <c r="R28" s="1">
        <v>5.0</v>
      </c>
      <c r="S28" s="1">
        <v>4.0</v>
      </c>
      <c r="T28" s="1">
        <v>0.0</v>
      </c>
      <c r="U28" s="1">
        <v>98.0</v>
      </c>
      <c r="V28" s="1">
        <v>64.0</v>
      </c>
      <c r="W28" s="15">
        <v>54.0</v>
      </c>
      <c r="X28" s="1">
        <v>39.0</v>
      </c>
      <c r="Y28" s="1">
        <v>76.0</v>
      </c>
      <c r="Z28" s="1">
        <v>5.0</v>
      </c>
      <c r="AA28" s="4">
        <v>8.0</v>
      </c>
      <c r="AB28" s="16" t="s">
        <v>29</v>
      </c>
      <c r="AC28" s="4"/>
      <c r="AD28" s="4"/>
      <c r="AE28" s="4"/>
    </row>
    <row r="29" ht="15.75" customHeight="1">
      <c r="A29" s="5"/>
      <c r="B29" s="6" t="s">
        <v>92</v>
      </c>
      <c r="C29" s="1" t="s">
        <v>93</v>
      </c>
      <c r="D29" s="7">
        <f t="shared" si="1"/>
        <v>3.87</v>
      </c>
      <c r="E29" s="12">
        <v>6.95</v>
      </c>
      <c r="F29" s="9">
        <f t="shared" si="2"/>
        <v>-3.08</v>
      </c>
      <c r="G29" s="19">
        <f t="shared" si="3"/>
        <v>8.64</v>
      </c>
      <c r="H29" s="12">
        <v>1.74</v>
      </c>
      <c r="I29" s="12">
        <v>5.34</v>
      </c>
      <c r="J29" s="17">
        <f t="shared" si="4"/>
        <v>3</v>
      </c>
      <c r="K29" s="15">
        <f t="shared" si="5"/>
        <v>1.79</v>
      </c>
      <c r="L29" s="8">
        <f t="shared" si="6"/>
        <v>0.65</v>
      </c>
      <c r="M29" s="10">
        <f t="shared" si="7"/>
        <v>4.65</v>
      </c>
      <c r="N29" s="9">
        <v>55.2</v>
      </c>
      <c r="O29" s="1">
        <v>2.0</v>
      </c>
      <c r="P29" s="1">
        <v>19.0</v>
      </c>
      <c r="Q29" s="1">
        <v>8.0</v>
      </c>
      <c r="R29" s="1">
        <v>5.0</v>
      </c>
      <c r="S29" s="1">
        <v>4.0</v>
      </c>
      <c r="T29" s="1">
        <v>0.0</v>
      </c>
      <c r="U29" s="1">
        <v>86.0</v>
      </c>
      <c r="V29" s="1">
        <v>53.0</v>
      </c>
      <c r="W29" s="1">
        <v>43.0</v>
      </c>
      <c r="X29" s="1">
        <v>11.0</v>
      </c>
      <c r="Y29" s="1">
        <v>33.0</v>
      </c>
      <c r="Z29" s="1">
        <v>4.0</v>
      </c>
      <c r="AA29" s="4">
        <v>6.0</v>
      </c>
      <c r="AB29" s="16" t="s">
        <v>29</v>
      </c>
      <c r="AC29" s="4"/>
      <c r="AD29" s="4"/>
      <c r="AE29" s="4"/>
    </row>
    <row r="30" ht="15.75" customHeight="1">
      <c r="A30" s="13"/>
      <c r="B30" s="6" t="s">
        <v>94</v>
      </c>
      <c r="C30" s="1" t="s">
        <v>95</v>
      </c>
      <c r="D30" s="7">
        <f t="shared" si="1"/>
        <v>3.86</v>
      </c>
      <c r="E30" s="8">
        <v>5.21</v>
      </c>
      <c r="F30" s="9">
        <f t="shared" si="2"/>
        <v>-1.35</v>
      </c>
      <c r="G30" s="14">
        <f t="shared" si="3"/>
        <v>5.52</v>
      </c>
      <c r="H30" s="8">
        <v>1.52</v>
      </c>
      <c r="I30" s="14">
        <v>9.59</v>
      </c>
      <c r="J30" s="18">
        <f t="shared" si="4"/>
        <v>2.12</v>
      </c>
      <c r="K30" s="8">
        <f t="shared" si="5"/>
        <v>4.56</v>
      </c>
      <c r="L30" s="10">
        <f t="shared" si="6"/>
        <v>0.41</v>
      </c>
      <c r="M30" s="10">
        <f t="shared" si="7"/>
        <v>4.48</v>
      </c>
      <c r="N30" s="9">
        <v>65.2</v>
      </c>
      <c r="O30" s="1">
        <v>2.0</v>
      </c>
      <c r="P30" s="1">
        <v>17.0</v>
      </c>
      <c r="Q30" s="1">
        <v>12.0</v>
      </c>
      <c r="R30" s="1">
        <v>7.0</v>
      </c>
      <c r="S30" s="1">
        <v>4.0</v>
      </c>
      <c r="T30" s="1">
        <v>0.0</v>
      </c>
      <c r="U30" s="1">
        <v>67.0</v>
      </c>
      <c r="V30" s="1">
        <v>40.0</v>
      </c>
      <c r="W30" s="1">
        <v>38.0</v>
      </c>
      <c r="X30" s="1">
        <v>33.0</v>
      </c>
      <c r="Y30" s="1">
        <v>70.0</v>
      </c>
      <c r="Z30" s="1">
        <v>3.0</v>
      </c>
      <c r="AA30" s="4">
        <v>15.0</v>
      </c>
      <c r="AB30" s="16" t="s">
        <v>29</v>
      </c>
      <c r="AC30" s="4"/>
      <c r="AD30" s="4"/>
      <c r="AE30" s="4"/>
    </row>
    <row r="31" ht="15.75" customHeight="1">
      <c r="A31" s="5"/>
      <c r="B31" s="6" t="s">
        <v>96</v>
      </c>
      <c r="C31" s="1" t="s">
        <v>97</v>
      </c>
      <c r="D31" s="7">
        <f t="shared" si="1"/>
        <v>3.82</v>
      </c>
      <c r="E31" s="8">
        <v>4.9</v>
      </c>
      <c r="F31" s="9">
        <f t="shared" si="2"/>
        <v>-1.08</v>
      </c>
      <c r="G31" s="14">
        <f t="shared" si="3"/>
        <v>5.56</v>
      </c>
      <c r="H31" s="8">
        <v>1.41</v>
      </c>
      <c r="I31" s="15">
        <v>12.68</v>
      </c>
      <c r="J31" s="11">
        <f t="shared" si="4"/>
        <v>2.53</v>
      </c>
      <c r="K31" s="12">
        <f t="shared" si="5"/>
        <v>5.06</v>
      </c>
      <c r="L31" s="12">
        <f t="shared" si="6"/>
        <v>1.14</v>
      </c>
      <c r="M31" s="12">
        <f t="shared" si="7"/>
        <v>14.75</v>
      </c>
      <c r="N31" s="9">
        <v>71.2</v>
      </c>
      <c r="O31" s="1">
        <v>1.0</v>
      </c>
      <c r="P31" s="1">
        <v>18.0</v>
      </c>
      <c r="Q31" s="1">
        <v>11.0</v>
      </c>
      <c r="R31" s="1">
        <v>9.0</v>
      </c>
      <c r="S31" s="1">
        <v>2.0</v>
      </c>
      <c r="T31" s="1">
        <v>0.0</v>
      </c>
      <c r="U31" s="1">
        <v>61.0</v>
      </c>
      <c r="V31" s="1">
        <v>44.0</v>
      </c>
      <c r="W31" s="1">
        <v>39.0</v>
      </c>
      <c r="X31" s="1">
        <v>40.0</v>
      </c>
      <c r="Y31" s="1">
        <v>101.0</v>
      </c>
      <c r="Z31" s="1">
        <v>9.0</v>
      </c>
      <c r="AA31" s="4">
        <v>3.0</v>
      </c>
      <c r="AB31" s="16" t="s">
        <v>29</v>
      </c>
      <c r="AC31" s="4"/>
      <c r="AD31" s="4"/>
      <c r="AE31" s="4"/>
    </row>
    <row r="32" ht="15.75" customHeight="1">
      <c r="A32" s="20"/>
      <c r="B32" s="6" t="s">
        <v>98</v>
      </c>
      <c r="C32" s="1" t="s">
        <v>99</v>
      </c>
      <c r="D32" s="7">
        <f t="shared" si="1"/>
        <v>3.8</v>
      </c>
      <c r="E32" s="10">
        <v>3.91</v>
      </c>
      <c r="F32" s="9">
        <f t="shared" si="2"/>
        <v>-0.11</v>
      </c>
      <c r="G32" s="10">
        <f t="shared" si="3"/>
        <v>5.06</v>
      </c>
      <c r="H32" s="12">
        <v>1.57</v>
      </c>
      <c r="I32" s="8">
        <v>7.95</v>
      </c>
      <c r="J32" s="21">
        <f t="shared" si="4"/>
        <v>1.97</v>
      </c>
      <c r="K32" s="8">
        <f t="shared" si="5"/>
        <v>4.05</v>
      </c>
      <c r="L32" s="14">
        <f t="shared" si="6"/>
        <v>0.51</v>
      </c>
      <c r="M32" s="10">
        <f t="shared" si="7"/>
        <v>5</v>
      </c>
      <c r="N32" s="9">
        <v>71.1</v>
      </c>
      <c r="O32" s="1">
        <v>5.0</v>
      </c>
      <c r="P32" s="1">
        <v>14.0</v>
      </c>
      <c r="Q32" s="1">
        <v>14.0</v>
      </c>
      <c r="R32" s="1">
        <v>6.0</v>
      </c>
      <c r="S32" s="1">
        <v>1.0</v>
      </c>
      <c r="T32" s="1">
        <v>0.0</v>
      </c>
      <c r="U32" s="1">
        <v>80.0</v>
      </c>
      <c r="V32" s="1">
        <v>40.0</v>
      </c>
      <c r="W32" s="1">
        <v>31.0</v>
      </c>
      <c r="X32" s="1">
        <v>32.0</v>
      </c>
      <c r="Y32" s="1">
        <v>63.0</v>
      </c>
      <c r="Z32" s="1">
        <v>4.0</v>
      </c>
      <c r="AA32" s="4">
        <v>7.0</v>
      </c>
      <c r="AB32" s="16" t="s">
        <v>100</v>
      </c>
      <c r="AC32" s="4"/>
      <c r="AD32" s="4"/>
      <c r="AE32" s="4"/>
    </row>
    <row r="33" ht="15.75" customHeight="1">
      <c r="A33" s="5"/>
      <c r="B33" s="6" t="s">
        <v>101</v>
      </c>
      <c r="C33" s="1" t="s">
        <v>102</v>
      </c>
      <c r="D33" s="7">
        <f t="shared" si="1"/>
        <v>3.8</v>
      </c>
      <c r="E33" s="10">
        <v>3.45</v>
      </c>
      <c r="F33" s="9">
        <f t="shared" si="2"/>
        <v>0.35</v>
      </c>
      <c r="G33" s="10">
        <f t="shared" si="3"/>
        <v>4.8</v>
      </c>
      <c r="H33" s="8">
        <v>1.52</v>
      </c>
      <c r="I33" s="12">
        <v>7.2</v>
      </c>
      <c r="J33" s="21">
        <f t="shared" si="4"/>
        <v>1.3</v>
      </c>
      <c r="K33" s="12">
        <f t="shared" si="5"/>
        <v>5.55</v>
      </c>
      <c r="L33" s="15">
        <f t="shared" si="6"/>
        <v>0</v>
      </c>
      <c r="M33" s="15">
        <f t="shared" si="7"/>
        <v>0</v>
      </c>
      <c r="N33" s="9">
        <v>60.0</v>
      </c>
      <c r="O33" s="1">
        <v>1.0</v>
      </c>
      <c r="P33" s="1">
        <v>13.0</v>
      </c>
      <c r="Q33" s="1">
        <v>10.0</v>
      </c>
      <c r="R33" s="1">
        <v>3.0</v>
      </c>
      <c r="S33" s="1">
        <v>1.0</v>
      </c>
      <c r="T33" s="1">
        <v>0.0</v>
      </c>
      <c r="U33" s="24">
        <v>54.0</v>
      </c>
      <c r="V33" s="24">
        <v>32.0</v>
      </c>
      <c r="W33" s="24">
        <v>23.0</v>
      </c>
      <c r="X33" s="24">
        <v>37.0</v>
      </c>
      <c r="Y33" s="24">
        <v>48.0</v>
      </c>
      <c r="Z33" s="1">
        <v>0.0</v>
      </c>
      <c r="AA33" s="4">
        <v>7.0</v>
      </c>
      <c r="AB33" s="16" t="s">
        <v>29</v>
      </c>
      <c r="AC33" s="4"/>
      <c r="AD33" s="4"/>
      <c r="AE33" s="4"/>
    </row>
    <row r="34" ht="15.75" customHeight="1">
      <c r="A34" s="20"/>
      <c r="B34" s="6" t="s">
        <v>103</v>
      </c>
      <c r="C34" s="1" t="s">
        <v>104</v>
      </c>
      <c r="D34" s="7">
        <f t="shared" si="1"/>
        <v>3.78</v>
      </c>
      <c r="E34" s="15">
        <v>3.07</v>
      </c>
      <c r="F34" s="9">
        <f t="shared" si="2"/>
        <v>0.71</v>
      </c>
      <c r="G34" s="15">
        <f t="shared" si="3"/>
        <v>4.02</v>
      </c>
      <c r="H34" s="14">
        <v>1.32</v>
      </c>
      <c r="I34" s="14">
        <v>9.36</v>
      </c>
      <c r="J34" s="11">
        <f t="shared" si="4"/>
        <v>2.5</v>
      </c>
      <c r="K34" s="14">
        <f t="shared" si="5"/>
        <v>3.76</v>
      </c>
      <c r="L34" s="8">
        <f t="shared" si="6"/>
        <v>0.67</v>
      </c>
      <c r="M34" s="8">
        <f t="shared" si="7"/>
        <v>8.2</v>
      </c>
      <c r="N34" s="9">
        <v>67.1</v>
      </c>
      <c r="O34" s="1">
        <v>2.0</v>
      </c>
      <c r="P34" s="1">
        <v>14.0</v>
      </c>
      <c r="Q34" s="1">
        <v>14.0</v>
      </c>
      <c r="R34" s="1">
        <v>9.0</v>
      </c>
      <c r="S34" s="1">
        <v>2.0</v>
      </c>
      <c r="T34" s="1">
        <v>0.0</v>
      </c>
      <c r="U34" s="1">
        <v>61.0</v>
      </c>
      <c r="V34" s="1">
        <v>30.0</v>
      </c>
      <c r="W34" s="1">
        <v>23.0</v>
      </c>
      <c r="X34" s="1">
        <v>28.0</v>
      </c>
      <c r="Y34" s="1">
        <v>70.0</v>
      </c>
      <c r="Z34" s="1">
        <v>5.0</v>
      </c>
      <c r="AA34" s="4">
        <v>10.0</v>
      </c>
      <c r="AB34" s="16" t="s">
        <v>105</v>
      </c>
      <c r="AC34" s="4"/>
      <c r="AD34" s="4"/>
      <c r="AE34" s="4"/>
    </row>
    <row r="35" ht="15.75" customHeight="1">
      <c r="A35" s="5"/>
      <c r="B35" s="6" t="s">
        <v>106</v>
      </c>
      <c r="C35" s="1" t="s">
        <v>107</v>
      </c>
      <c r="D35" s="7">
        <f t="shared" si="1"/>
        <v>3.78</v>
      </c>
      <c r="E35" s="8">
        <v>5.33</v>
      </c>
      <c r="F35" s="9">
        <f t="shared" si="2"/>
        <v>-1.55</v>
      </c>
      <c r="G35" s="12">
        <f t="shared" si="3"/>
        <v>7.71</v>
      </c>
      <c r="H35" s="19">
        <v>3.08</v>
      </c>
      <c r="I35" s="8">
        <v>8.35</v>
      </c>
      <c r="J35" s="21">
        <f t="shared" si="4"/>
        <v>1.34</v>
      </c>
      <c r="K35" s="12">
        <f t="shared" si="5"/>
        <v>6.27</v>
      </c>
      <c r="L35" s="15">
        <f t="shared" si="6"/>
        <v>0</v>
      </c>
      <c r="M35" s="15">
        <f t="shared" si="7"/>
        <v>0</v>
      </c>
      <c r="N35" s="9">
        <v>50.2</v>
      </c>
      <c r="O35" s="1">
        <v>2.0</v>
      </c>
      <c r="P35" s="1">
        <v>11.0</v>
      </c>
      <c r="Q35" s="1">
        <v>5.0</v>
      </c>
      <c r="R35" s="1">
        <v>4.0</v>
      </c>
      <c r="S35" s="1">
        <v>3.0</v>
      </c>
      <c r="T35" s="1">
        <v>0.0</v>
      </c>
      <c r="U35" s="1">
        <v>121.0</v>
      </c>
      <c r="V35" s="1">
        <v>43.0</v>
      </c>
      <c r="W35" s="1">
        <v>30.0</v>
      </c>
      <c r="X35" s="1">
        <v>35.0</v>
      </c>
      <c r="Y35" s="1">
        <v>47.0</v>
      </c>
      <c r="Z35" s="1">
        <v>0.0</v>
      </c>
      <c r="AA35" s="4">
        <v>6.0</v>
      </c>
      <c r="AB35" s="16" t="s">
        <v>29</v>
      </c>
      <c r="AC35" s="4"/>
      <c r="AD35" s="4"/>
      <c r="AE35" s="4"/>
    </row>
    <row r="36" ht="15.75" customHeight="1">
      <c r="A36" s="20"/>
      <c r="B36" s="6" t="s">
        <v>108</v>
      </c>
      <c r="C36" s="1" t="s">
        <v>109</v>
      </c>
      <c r="D36" s="7">
        <f t="shared" si="1"/>
        <v>3.76</v>
      </c>
      <c r="E36" s="8">
        <v>5.02</v>
      </c>
      <c r="F36" s="9">
        <f t="shared" si="2"/>
        <v>-1.26</v>
      </c>
      <c r="G36" s="8">
        <f t="shared" si="3"/>
        <v>6.34</v>
      </c>
      <c r="H36" s="8">
        <v>1.46</v>
      </c>
      <c r="I36" s="10">
        <v>10.77</v>
      </c>
      <c r="J36" s="18">
        <f t="shared" si="4"/>
        <v>2.09</v>
      </c>
      <c r="K36" s="12">
        <f t="shared" si="5"/>
        <v>5.16</v>
      </c>
      <c r="L36" s="10">
        <f t="shared" si="6"/>
        <v>0.44</v>
      </c>
      <c r="M36" s="14">
        <f t="shared" si="7"/>
        <v>5.56</v>
      </c>
      <c r="N36" s="9">
        <v>61.0</v>
      </c>
      <c r="O36" s="1">
        <v>0.0</v>
      </c>
      <c r="P36" s="1">
        <v>16.0</v>
      </c>
      <c r="Q36" s="1">
        <v>14.0</v>
      </c>
      <c r="R36" s="1">
        <v>6.0</v>
      </c>
      <c r="S36" s="1">
        <v>4.0</v>
      </c>
      <c r="T36" s="1">
        <v>1.0</v>
      </c>
      <c r="U36" s="1">
        <v>54.0</v>
      </c>
      <c r="V36" s="1">
        <v>43.0</v>
      </c>
      <c r="W36" s="1">
        <v>34.0</v>
      </c>
      <c r="X36" s="1">
        <v>35.0</v>
      </c>
      <c r="Y36" s="1">
        <v>73.0</v>
      </c>
      <c r="Z36" s="1">
        <v>3.0</v>
      </c>
      <c r="AA36" s="4">
        <v>12.0</v>
      </c>
      <c r="AB36" s="16" t="s">
        <v>110</v>
      </c>
      <c r="AC36" s="4"/>
      <c r="AD36" s="4"/>
      <c r="AE36" s="4"/>
    </row>
    <row r="37" ht="15.75" customHeight="1">
      <c r="A37" s="20"/>
      <c r="B37" s="6" t="s">
        <v>111</v>
      </c>
      <c r="C37" s="1" t="s">
        <v>112</v>
      </c>
      <c r="D37" s="7">
        <f t="shared" si="1"/>
        <v>3.76</v>
      </c>
      <c r="E37" s="15">
        <v>2.74</v>
      </c>
      <c r="F37" s="9">
        <f t="shared" si="2"/>
        <v>1.02</v>
      </c>
      <c r="G37" s="15">
        <f t="shared" si="3"/>
        <v>4.07</v>
      </c>
      <c r="H37" s="14">
        <v>1.36</v>
      </c>
      <c r="I37" s="14">
        <v>9.4</v>
      </c>
      <c r="J37" s="18">
        <f t="shared" si="4"/>
        <v>2.19</v>
      </c>
      <c r="K37" s="8">
        <f t="shared" si="5"/>
        <v>4.31</v>
      </c>
      <c r="L37" s="14">
        <f t="shared" si="6"/>
        <v>0.6</v>
      </c>
      <c r="M37" s="8">
        <f t="shared" si="7"/>
        <v>7.46</v>
      </c>
      <c r="N37" s="9">
        <v>75.2</v>
      </c>
      <c r="O37" s="1">
        <v>4.0</v>
      </c>
      <c r="P37" s="1">
        <v>17.0</v>
      </c>
      <c r="Q37" s="1">
        <v>16.0</v>
      </c>
      <c r="R37" s="1">
        <v>10.0</v>
      </c>
      <c r="S37" s="1">
        <v>1.0</v>
      </c>
      <c r="T37" s="1">
        <v>1.0</v>
      </c>
      <c r="U37" s="1">
        <v>67.0</v>
      </c>
      <c r="V37" s="1">
        <v>34.0</v>
      </c>
      <c r="W37" s="1">
        <v>23.0</v>
      </c>
      <c r="X37" s="1">
        <v>36.0</v>
      </c>
      <c r="Y37" s="1">
        <v>79.0</v>
      </c>
      <c r="Z37" s="1">
        <v>5.0</v>
      </c>
      <c r="AA37" s="4">
        <v>9.0</v>
      </c>
      <c r="AB37" s="16" t="s">
        <v>113</v>
      </c>
      <c r="AC37" s="4"/>
      <c r="AD37" s="4"/>
      <c r="AE37" s="4"/>
    </row>
    <row r="38" ht="15.75" customHeight="1">
      <c r="A38" s="5"/>
      <c r="B38" s="6" t="s">
        <v>114</v>
      </c>
      <c r="C38" s="1" t="s">
        <v>115</v>
      </c>
      <c r="D38" s="7">
        <f t="shared" si="1"/>
        <v>3.75</v>
      </c>
      <c r="E38" s="12">
        <v>5.37</v>
      </c>
      <c r="F38" s="9">
        <f t="shared" si="2"/>
        <v>-1.62</v>
      </c>
      <c r="G38" s="12">
        <f t="shared" si="3"/>
        <v>7.26</v>
      </c>
      <c r="H38" s="8">
        <v>1.49</v>
      </c>
      <c r="I38" s="10">
        <v>11.03</v>
      </c>
      <c r="J38" s="18">
        <f t="shared" si="4"/>
        <v>2.23</v>
      </c>
      <c r="K38" s="8">
        <f t="shared" si="5"/>
        <v>4.98</v>
      </c>
      <c r="L38" s="8">
        <f t="shared" si="6"/>
        <v>0.71</v>
      </c>
      <c r="M38" s="8">
        <f t="shared" si="7"/>
        <v>8.33</v>
      </c>
      <c r="N38" s="9">
        <v>63.2</v>
      </c>
      <c r="O38" s="1">
        <v>4.0</v>
      </c>
      <c r="P38" s="1">
        <v>13.0</v>
      </c>
      <c r="Q38" s="1">
        <v>13.0</v>
      </c>
      <c r="R38" s="1">
        <v>6.0</v>
      </c>
      <c r="S38" s="1">
        <v>2.0</v>
      </c>
      <c r="T38" s="1">
        <v>0.0</v>
      </c>
      <c r="U38" s="1">
        <v>60.0</v>
      </c>
      <c r="V38" s="1">
        <v>51.0</v>
      </c>
      <c r="W38" s="1">
        <v>38.0</v>
      </c>
      <c r="X38" s="1">
        <v>35.0</v>
      </c>
      <c r="Y38" s="1">
        <v>78.0</v>
      </c>
      <c r="Z38" s="1">
        <v>5.0</v>
      </c>
      <c r="AA38" s="4">
        <v>7.0</v>
      </c>
      <c r="AB38" s="16" t="s">
        <v>29</v>
      </c>
      <c r="AC38" s="4"/>
      <c r="AD38" s="4"/>
      <c r="AE38" s="4"/>
    </row>
    <row r="39" ht="15.75" customHeight="1">
      <c r="A39" s="5"/>
      <c r="B39" s="6" t="s">
        <v>116</v>
      </c>
      <c r="C39" s="1" t="s">
        <v>117</v>
      </c>
      <c r="D39" s="7">
        <f t="shared" si="1"/>
        <v>3.71</v>
      </c>
      <c r="E39" s="12">
        <v>6.24</v>
      </c>
      <c r="F39" s="9">
        <f t="shared" si="2"/>
        <v>-2.53</v>
      </c>
      <c r="G39" s="12">
        <f t="shared" si="3"/>
        <v>7.46</v>
      </c>
      <c r="H39" s="8">
        <v>1.43</v>
      </c>
      <c r="I39" s="15">
        <v>12.83</v>
      </c>
      <c r="J39" s="18">
        <f t="shared" si="4"/>
        <v>2</v>
      </c>
      <c r="K39" s="12">
        <f t="shared" si="5"/>
        <v>6.44</v>
      </c>
      <c r="L39" s="10">
        <f t="shared" si="6"/>
        <v>0.34</v>
      </c>
      <c r="M39" s="10">
        <f t="shared" si="7"/>
        <v>5.26</v>
      </c>
      <c r="N39" s="9">
        <v>53.1</v>
      </c>
      <c r="O39" s="1">
        <v>1.0</v>
      </c>
      <c r="P39" s="1">
        <v>13.0</v>
      </c>
      <c r="Q39" s="1">
        <v>12.0</v>
      </c>
      <c r="R39" s="1">
        <v>3.0</v>
      </c>
      <c r="S39" s="1">
        <v>5.0</v>
      </c>
      <c r="T39" s="1">
        <v>0.0</v>
      </c>
      <c r="U39" s="1">
        <v>38.0</v>
      </c>
      <c r="V39" s="1">
        <v>44.0</v>
      </c>
      <c r="W39" s="1">
        <v>37.0</v>
      </c>
      <c r="X39" s="1">
        <v>38.0</v>
      </c>
      <c r="Y39" s="1">
        <v>76.0</v>
      </c>
      <c r="Z39" s="1">
        <v>2.0</v>
      </c>
      <c r="AA39" s="4">
        <v>13.0</v>
      </c>
      <c r="AB39" s="16" t="s">
        <v>29</v>
      </c>
      <c r="AC39" s="4"/>
      <c r="AD39" s="4"/>
      <c r="AE39" s="4"/>
    </row>
    <row r="40" ht="15.75" customHeight="1">
      <c r="A40" s="5"/>
      <c r="B40" s="6" t="s">
        <v>118</v>
      </c>
      <c r="C40" s="1" t="s">
        <v>50</v>
      </c>
      <c r="D40" s="7">
        <f t="shared" si="1"/>
        <v>3.66</v>
      </c>
      <c r="E40" s="12">
        <v>5.91</v>
      </c>
      <c r="F40" s="9">
        <f t="shared" si="2"/>
        <v>-2.25</v>
      </c>
      <c r="G40" s="8">
        <f t="shared" si="3"/>
        <v>6.9</v>
      </c>
      <c r="H40" s="14">
        <v>1.35</v>
      </c>
      <c r="I40" s="10">
        <v>11.34</v>
      </c>
      <c r="J40" s="25">
        <f t="shared" si="4"/>
        <v>3.94</v>
      </c>
      <c r="K40" s="10">
        <f t="shared" si="5"/>
        <v>2.89</v>
      </c>
      <c r="L40" s="12">
        <f t="shared" si="6"/>
        <v>0.96</v>
      </c>
      <c r="M40" s="12">
        <f t="shared" si="7"/>
        <v>10.34</v>
      </c>
      <c r="N40" s="9">
        <v>56.1</v>
      </c>
      <c r="O40" s="1">
        <v>0.0</v>
      </c>
      <c r="P40" s="1">
        <v>31.0</v>
      </c>
      <c r="Q40" s="1">
        <v>0.0</v>
      </c>
      <c r="R40" s="1">
        <v>6.0</v>
      </c>
      <c r="S40" s="1">
        <v>4.0</v>
      </c>
      <c r="T40" s="26">
        <v>11.0</v>
      </c>
      <c r="U40" s="1">
        <v>58.0</v>
      </c>
      <c r="V40" s="1">
        <v>43.0</v>
      </c>
      <c r="W40" s="1">
        <v>37.0</v>
      </c>
      <c r="X40" s="1">
        <v>18.0</v>
      </c>
      <c r="Y40" s="1">
        <v>71.0</v>
      </c>
      <c r="Z40" s="1">
        <v>6.0</v>
      </c>
      <c r="AA40" s="4">
        <v>12.0</v>
      </c>
      <c r="AB40" s="16" t="s">
        <v>29</v>
      </c>
      <c r="AC40" s="4"/>
      <c r="AD40" s="4"/>
      <c r="AE40" s="4"/>
    </row>
    <row r="41" ht="15.75" customHeight="1">
      <c r="A41" s="5"/>
      <c r="B41" s="6" t="s">
        <v>119</v>
      </c>
      <c r="C41" s="1" t="s">
        <v>120</v>
      </c>
      <c r="D41" s="7">
        <f t="shared" si="1"/>
        <v>3.61</v>
      </c>
      <c r="E41" s="15">
        <v>2.64</v>
      </c>
      <c r="F41" s="9">
        <f t="shared" si="2"/>
        <v>0.97</v>
      </c>
      <c r="G41" s="15">
        <f t="shared" si="3"/>
        <v>3.6</v>
      </c>
      <c r="H41" s="10">
        <v>1.21</v>
      </c>
      <c r="I41" s="19">
        <v>4.8</v>
      </c>
      <c r="J41" s="21">
        <f t="shared" si="4"/>
        <v>1.67</v>
      </c>
      <c r="K41" s="10">
        <f t="shared" si="5"/>
        <v>2.88</v>
      </c>
      <c r="L41" s="10">
        <f t="shared" si="6"/>
        <v>0.36</v>
      </c>
      <c r="M41" s="10">
        <f t="shared" si="7"/>
        <v>4.48</v>
      </c>
      <c r="N41" s="9">
        <v>75.0</v>
      </c>
      <c r="O41" s="26">
        <v>6.0</v>
      </c>
      <c r="P41" s="1">
        <v>13.0</v>
      </c>
      <c r="Q41" s="1">
        <v>12.0</v>
      </c>
      <c r="R41" s="1">
        <v>7.0</v>
      </c>
      <c r="S41" s="1">
        <v>3.0</v>
      </c>
      <c r="T41" s="1">
        <v>0.0</v>
      </c>
      <c r="U41" s="1">
        <v>67.0</v>
      </c>
      <c r="V41" s="1">
        <v>30.0</v>
      </c>
      <c r="W41" s="1">
        <v>22.0</v>
      </c>
      <c r="X41" s="1">
        <v>24.0</v>
      </c>
      <c r="Y41" s="1">
        <v>40.0</v>
      </c>
      <c r="Z41" s="1">
        <v>3.0</v>
      </c>
      <c r="AA41" s="4">
        <v>0.0</v>
      </c>
      <c r="AB41" s="16" t="s">
        <v>29</v>
      </c>
      <c r="AC41" s="4"/>
      <c r="AD41" s="4"/>
      <c r="AE41" s="4"/>
    </row>
    <row r="42" ht="15.75" customHeight="1">
      <c r="A42" s="5"/>
      <c r="B42" s="6" t="s">
        <v>121</v>
      </c>
      <c r="C42" s="1" t="s">
        <v>99</v>
      </c>
      <c r="D42" s="7">
        <f t="shared" si="1"/>
        <v>3.58</v>
      </c>
      <c r="E42" s="14">
        <v>3.95</v>
      </c>
      <c r="F42" s="9">
        <f t="shared" si="2"/>
        <v>-0.37</v>
      </c>
      <c r="G42" s="14">
        <f t="shared" si="3"/>
        <v>5.32</v>
      </c>
      <c r="H42" s="12">
        <v>1.62</v>
      </c>
      <c r="I42" s="8">
        <v>7.77</v>
      </c>
      <c r="J42" s="21">
        <f t="shared" si="4"/>
        <v>1.36</v>
      </c>
      <c r="K42" s="12">
        <f t="shared" si="5"/>
        <v>5.73</v>
      </c>
      <c r="L42" s="15">
        <f t="shared" si="6"/>
        <v>0.14</v>
      </c>
      <c r="M42" s="15">
        <f t="shared" si="7"/>
        <v>1.54</v>
      </c>
      <c r="N42" s="9">
        <v>66.0</v>
      </c>
      <c r="O42" s="1">
        <v>1.0</v>
      </c>
      <c r="P42" s="1">
        <v>18.0</v>
      </c>
      <c r="Q42" s="1">
        <v>6.0</v>
      </c>
      <c r="R42" s="1">
        <v>6.0</v>
      </c>
      <c r="S42" s="1">
        <v>4.0</v>
      </c>
      <c r="T42" s="1">
        <v>1.0</v>
      </c>
      <c r="U42" s="1">
        <v>65.0</v>
      </c>
      <c r="V42" s="1">
        <v>39.0</v>
      </c>
      <c r="W42" s="1">
        <v>29.0</v>
      </c>
      <c r="X42" s="1">
        <v>42.0</v>
      </c>
      <c r="Y42" s="1">
        <v>57.0</v>
      </c>
      <c r="Z42" s="1">
        <v>1.0</v>
      </c>
      <c r="AA42" s="4">
        <v>0.0</v>
      </c>
      <c r="AB42" s="16" t="s">
        <v>29</v>
      </c>
      <c r="AC42" s="4"/>
      <c r="AD42" s="4"/>
      <c r="AE42" s="4"/>
    </row>
    <row r="43" ht="15.75" customHeight="1">
      <c r="A43" s="20"/>
      <c r="B43" s="6" t="s">
        <v>122</v>
      </c>
      <c r="C43" s="1" t="s">
        <v>104</v>
      </c>
      <c r="D43" s="7">
        <f t="shared" si="1"/>
        <v>3.57</v>
      </c>
      <c r="E43" s="14">
        <v>4.59</v>
      </c>
      <c r="F43" s="9">
        <f t="shared" si="2"/>
        <v>-1.02</v>
      </c>
      <c r="G43" s="14">
        <f t="shared" si="3"/>
        <v>5.33</v>
      </c>
      <c r="H43" s="15">
        <v>1.11</v>
      </c>
      <c r="I43" s="12">
        <v>5.85</v>
      </c>
      <c r="J43" s="25">
        <f t="shared" si="4"/>
        <v>8.4</v>
      </c>
      <c r="K43" s="15">
        <f t="shared" si="5"/>
        <v>0.7</v>
      </c>
      <c r="L43" s="8">
        <f t="shared" si="6"/>
        <v>0.84</v>
      </c>
      <c r="M43" s="8">
        <f t="shared" si="7"/>
        <v>8.96</v>
      </c>
      <c r="N43" s="9">
        <v>64.2</v>
      </c>
      <c r="O43" s="1">
        <v>3.0</v>
      </c>
      <c r="P43" s="1">
        <v>12.0</v>
      </c>
      <c r="Q43" s="1">
        <v>12.0</v>
      </c>
      <c r="R43" s="1">
        <v>7.0</v>
      </c>
      <c r="S43" s="1">
        <v>3.0</v>
      </c>
      <c r="T43" s="1">
        <v>0.0</v>
      </c>
      <c r="U43" s="1">
        <v>67.0</v>
      </c>
      <c r="V43" s="1">
        <v>38.0</v>
      </c>
      <c r="W43" s="1">
        <v>33.0</v>
      </c>
      <c r="X43" s="1">
        <v>5.0</v>
      </c>
      <c r="Y43" s="1">
        <v>42.0</v>
      </c>
      <c r="Z43" s="1">
        <v>6.0</v>
      </c>
      <c r="AA43" s="4">
        <v>5.0</v>
      </c>
      <c r="AB43" s="16" t="s">
        <v>123</v>
      </c>
      <c r="AC43" s="4"/>
      <c r="AD43" s="4"/>
      <c r="AE43" s="4"/>
    </row>
    <row r="44" ht="15.75" customHeight="1">
      <c r="A44" s="27"/>
      <c r="B44" s="6" t="s">
        <v>124</v>
      </c>
      <c r="C44" s="1" t="s">
        <v>125</v>
      </c>
      <c r="D44" s="7">
        <f t="shared" si="1"/>
        <v>3.57</v>
      </c>
      <c r="E44" s="12">
        <v>6.96</v>
      </c>
      <c r="F44" s="9">
        <f t="shared" si="2"/>
        <v>-3.39</v>
      </c>
      <c r="G44" s="12">
        <f t="shared" si="3"/>
        <v>7.32</v>
      </c>
      <c r="H44" s="14">
        <v>1.34</v>
      </c>
      <c r="I44" s="12">
        <v>5.47</v>
      </c>
      <c r="J44" s="21">
        <f t="shared" si="4"/>
        <v>1.65</v>
      </c>
      <c r="K44" s="14">
        <f t="shared" si="5"/>
        <v>3.33</v>
      </c>
      <c r="L44" s="10">
        <f t="shared" si="6"/>
        <v>0.33</v>
      </c>
      <c r="M44" s="10">
        <f t="shared" si="7"/>
        <v>3.77</v>
      </c>
      <c r="N44" s="9">
        <v>54.1</v>
      </c>
      <c r="O44" s="1">
        <v>0.0</v>
      </c>
      <c r="P44" s="1">
        <v>23.0</v>
      </c>
      <c r="Q44" s="1">
        <v>0.0</v>
      </c>
      <c r="R44" s="1">
        <v>4.0</v>
      </c>
      <c r="S44" s="1">
        <v>4.0</v>
      </c>
      <c r="T44" s="1">
        <v>1.0</v>
      </c>
      <c r="U44" s="1">
        <v>53.0</v>
      </c>
      <c r="V44" s="1">
        <v>44.0</v>
      </c>
      <c r="W44" s="1">
        <v>42.0</v>
      </c>
      <c r="X44" s="1">
        <v>20.0</v>
      </c>
      <c r="Y44" s="1">
        <v>33.0</v>
      </c>
      <c r="Z44" s="1">
        <v>2.0</v>
      </c>
      <c r="AA44" s="4"/>
      <c r="AB44" s="16" t="s">
        <v>29</v>
      </c>
      <c r="AC44" s="4"/>
      <c r="AD44" s="4"/>
      <c r="AE44" s="4"/>
    </row>
    <row r="45" ht="15.75" customHeight="1">
      <c r="A45" s="5"/>
      <c r="B45" s="6" t="s">
        <v>126</v>
      </c>
      <c r="C45" s="1" t="s">
        <v>127</v>
      </c>
      <c r="D45" s="7">
        <f t="shared" si="1"/>
        <v>3.51</v>
      </c>
      <c r="E45" s="12">
        <v>5.48</v>
      </c>
      <c r="F45" s="9">
        <f t="shared" si="2"/>
        <v>-1.97</v>
      </c>
      <c r="G45" s="8">
        <f t="shared" si="3"/>
        <v>6.61</v>
      </c>
      <c r="H45" s="8">
        <v>1.47</v>
      </c>
      <c r="I45" s="14">
        <v>9.28</v>
      </c>
      <c r="J45" s="17">
        <f t="shared" si="4"/>
        <v>3.47</v>
      </c>
      <c r="K45" s="10">
        <f t="shared" si="5"/>
        <v>2.67</v>
      </c>
      <c r="L45" s="8">
        <f t="shared" si="6"/>
        <v>0.7</v>
      </c>
      <c r="M45" s="14">
        <f t="shared" si="7"/>
        <v>6.67</v>
      </c>
      <c r="N45" s="9">
        <v>64.0</v>
      </c>
      <c r="O45" s="1">
        <v>2.0</v>
      </c>
      <c r="P45" s="1">
        <v>16.0</v>
      </c>
      <c r="Q45" s="1">
        <v>6.0</v>
      </c>
      <c r="R45" s="1">
        <v>4.0</v>
      </c>
      <c r="S45" s="1">
        <v>5.0</v>
      </c>
      <c r="T45" s="1">
        <v>2.0</v>
      </c>
      <c r="U45" s="1">
        <v>75.0</v>
      </c>
      <c r="V45" s="1">
        <v>47.0</v>
      </c>
      <c r="W45" s="1">
        <v>39.0</v>
      </c>
      <c r="X45" s="1">
        <v>19.0</v>
      </c>
      <c r="Y45" s="1">
        <v>66.0</v>
      </c>
      <c r="Z45" s="1">
        <v>5.0</v>
      </c>
      <c r="AA45" s="4">
        <v>10.0</v>
      </c>
      <c r="AB45" s="16" t="s">
        <v>29</v>
      </c>
      <c r="AC45" s="4"/>
      <c r="AD45" s="4"/>
      <c r="AE45" s="4"/>
    </row>
    <row r="46" ht="15.75" customHeight="1">
      <c r="A46" s="5"/>
      <c r="B46" s="6" t="s">
        <v>128</v>
      </c>
      <c r="C46" s="1" t="s">
        <v>120</v>
      </c>
      <c r="D46" s="7">
        <f t="shared" si="1"/>
        <v>3.47</v>
      </c>
      <c r="E46" s="8">
        <v>5.29</v>
      </c>
      <c r="F46" s="9">
        <f t="shared" si="2"/>
        <v>-1.82</v>
      </c>
      <c r="G46" s="8">
        <f t="shared" si="3"/>
        <v>6</v>
      </c>
      <c r="H46" s="12">
        <v>1.73</v>
      </c>
      <c r="I46" s="12">
        <v>6.0</v>
      </c>
      <c r="J46" s="21">
        <f t="shared" si="4"/>
        <v>1.89</v>
      </c>
      <c r="K46" s="14">
        <f t="shared" si="5"/>
        <v>3.18</v>
      </c>
      <c r="L46" s="15">
        <f t="shared" si="6"/>
        <v>0.18</v>
      </c>
      <c r="M46" s="15">
        <f t="shared" si="7"/>
        <v>1.43</v>
      </c>
      <c r="N46" s="9">
        <v>51.0</v>
      </c>
      <c r="O46" s="1">
        <v>1.0</v>
      </c>
      <c r="P46" s="1">
        <v>12.0</v>
      </c>
      <c r="Q46" s="1">
        <v>11.0</v>
      </c>
      <c r="R46" s="1">
        <v>7.0</v>
      </c>
      <c r="S46" s="1">
        <v>2.0</v>
      </c>
      <c r="T46" s="1">
        <v>0.0</v>
      </c>
      <c r="U46" s="1">
        <v>70.0</v>
      </c>
      <c r="V46" s="1">
        <v>34.0</v>
      </c>
      <c r="W46" s="1">
        <v>30.0</v>
      </c>
      <c r="X46" s="1">
        <v>18.0</v>
      </c>
      <c r="Y46" s="1">
        <v>34.0</v>
      </c>
      <c r="Z46" s="1">
        <v>1.0</v>
      </c>
      <c r="AA46" s="4">
        <v>5.0</v>
      </c>
      <c r="AB46" s="16" t="s">
        <v>29</v>
      </c>
      <c r="AC46" s="4"/>
      <c r="AD46" s="4"/>
      <c r="AE46" s="4"/>
    </row>
    <row r="47" ht="15.75" customHeight="1">
      <c r="A47" s="5"/>
      <c r="B47" s="6" t="s">
        <v>129</v>
      </c>
      <c r="C47" s="1" t="s">
        <v>130</v>
      </c>
      <c r="D47" s="7">
        <f t="shared" si="1"/>
        <v>3.39</v>
      </c>
      <c r="E47" s="14">
        <v>4.17</v>
      </c>
      <c r="F47" s="9">
        <f t="shared" si="2"/>
        <v>-0.78</v>
      </c>
      <c r="G47" s="10">
        <f t="shared" si="3"/>
        <v>4.8</v>
      </c>
      <c r="H47" s="14">
        <v>1.32</v>
      </c>
      <c r="I47" s="10">
        <v>9.87</v>
      </c>
      <c r="J47" s="17">
        <f t="shared" si="4"/>
        <v>3.37</v>
      </c>
      <c r="K47" s="10">
        <f t="shared" si="5"/>
        <v>2.94</v>
      </c>
      <c r="L47" s="14">
        <f t="shared" si="6"/>
        <v>0.62</v>
      </c>
      <c r="M47" s="14">
        <f t="shared" si="7"/>
        <v>6.9</v>
      </c>
      <c r="N47" s="9">
        <v>58.1</v>
      </c>
      <c r="O47" s="1">
        <v>0.0</v>
      </c>
      <c r="P47" s="1">
        <v>14.0</v>
      </c>
      <c r="Q47" s="1">
        <v>12.0</v>
      </c>
      <c r="R47" s="1">
        <v>3.0</v>
      </c>
      <c r="S47" s="1">
        <v>2.0</v>
      </c>
      <c r="T47" s="1">
        <v>1.0</v>
      </c>
      <c r="U47" s="1">
        <v>58.0</v>
      </c>
      <c r="V47" s="1">
        <v>31.0</v>
      </c>
      <c r="W47" s="1">
        <v>27.0</v>
      </c>
      <c r="X47" s="1">
        <v>19.0</v>
      </c>
      <c r="Y47" s="1">
        <v>64.0</v>
      </c>
      <c r="Z47" s="1">
        <v>4.0</v>
      </c>
      <c r="AA47" s="4">
        <v>10.0</v>
      </c>
      <c r="AB47" s="16" t="s">
        <v>29</v>
      </c>
      <c r="AC47" s="4"/>
      <c r="AD47" s="4"/>
      <c r="AE47" s="4"/>
    </row>
    <row r="48" ht="15.75" customHeight="1">
      <c r="A48" s="20"/>
      <c r="B48" s="6" t="s">
        <v>131</v>
      </c>
      <c r="C48" s="1" t="s">
        <v>132</v>
      </c>
      <c r="D48" s="7">
        <f t="shared" si="1"/>
        <v>3.39</v>
      </c>
      <c r="E48" s="15">
        <v>2.95</v>
      </c>
      <c r="F48" s="9">
        <f t="shared" si="2"/>
        <v>0.44</v>
      </c>
      <c r="G48" s="15">
        <f t="shared" si="3"/>
        <v>3.73</v>
      </c>
      <c r="H48" s="15">
        <v>1.13</v>
      </c>
      <c r="I48" s="8">
        <v>8.2</v>
      </c>
      <c r="J48" s="17">
        <f t="shared" si="4"/>
        <v>3.26</v>
      </c>
      <c r="K48" s="10">
        <f t="shared" si="5"/>
        <v>2.52</v>
      </c>
      <c r="L48" s="10">
        <f t="shared" si="6"/>
        <v>0.44</v>
      </c>
      <c r="M48" s="14">
        <f t="shared" si="7"/>
        <v>5.71</v>
      </c>
      <c r="N48" s="9">
        <v>82.1</v>
      </c>
      <c r="O48" s="1">
        <v>1.0</v>
      </c>
      <c r="P48" s="1">
        <v>16.0</v>
      </c>
      <c r="Q48" s="1">
        <v>13.0</v>
      </c>
      <c r="R48" s="1">
        <v>10.0</v>
      </c>
      <c r="S48" s="1">
        <v>1.0</v>
      </c>
      <c r="T48" s="1">
        <v>0.0</v>
      </c>
      <c r="U48" s="1">
        <v>70.0</v>
      </c>
      <c r="V48" s="1">
        <v>34.0</v>
      </c>
      <c r="W48" s="1">
        <v>27.0</v>
      </c>
      <c r="X48" s="1">
        <v>23.0</v>
      </c>
      <c r="Y48" s="1">
        <v>75.0</v>
      </c>
      <c r="Z48" s="1">
        <v>4.0</v>
      </c>
      <c r="AA48" s="4">
        <v>15.0</v>
      </c>
      <c r="AB48" s="16" t="s">
        <v>133</v>
      </c>
      <c r="AC48" s="4"/>
      <c r="AD48" s="4"/>
      <c r="AE48" s="4"/>
    </row>
    <row r="49" ht="15.75" customHeight="1">
      <c r="A49" s="20"/>
      <c r="B49" s="6" t="s">
        <v>134</v>
      </c>
      <c r="C49" s="1" t="s">
        <v>66</v>
      </c>
      <c r="D49" s="7">
        <f t="shared" si="1"/>
        <v>3.37</v>
      </c>
      <c r="E49" s="10">
        <v>3.86</v>
      </c>
      <c r="F49" s="9">
        <f t="shared" si="2"/>
        <v>-0.49</v>
      </c>
      <c r="G49" s="14">
        <f t="shared" si="3"/>
        <v>5.24</v>
      </c>
      <c r="H49" s="8">
        <v>1.42</v>
      </c>
      <c r="I49" s="15">
        <v>11.57</v>
      </c>
      <c r="J49" s="18">
        <f t="shared" si="4"/>
        <v>2.3</v>
      </c>
      <c r="K49" s="12">
        <f t="shared" si="5"/>
        <v>5.08</v>
      </c>
      <c r="L49" s="14">
        <f t="shared" si="6"/>
        <v>0.51</v>
      </c>
      <c r="M49" s="14">
        <f t="shared" si="7"/>
        <v>6.52</v>
      </c>
      <c r="N49" s="9">
        <v>53.2</v>
      </c>
      <c r="O49" s="1">
        <v>0.0</v>
      </c>
      <c r="P49" s="1">
        <v>17.0</v>
      </c>
      <c r="Q49" s="1">
        <v>0.0</v>
      </c>
      <c r="R49" s="1">
        <v>3.0</v>
      </c>
      <c r="S49" s="1">
        <v>4.0</v>
      </c>
      <c r="T49" s="1">
        <v>1.0</v>
      </c>
      <c r="U49" s="1">
        <v>46.0</v>
      </c>
      <c r="V49" s="1">
        <v>31.0</v>
      </c>
      <c r="W49" s="1">
        <v>23.0</v>
      </c>
      <c r="X49" s="1">
        <v>30.0</v>
      </c>
      <c r="Y49" s="1">
        <v>69.0</v>
      </c>
      <c r="Z49" s="1">
        <v>3.0</v>
      </c>
      <c r="AA49" s="4">
        <v>6.0</v>
      </c>
      <c r="AB49" s="16" t="s">
        <v>135</v>
      </c>
      <c r="AC49" s="4"/>
      <c r="AD49" s="4"/>
      <c r="AE49" s="4"/>
    </row>
    <row r="50" ht="15.75" customHeight="1">
      <c r="A50" s="5"/>
      <c r="B50" s="6" t="s">
        <v>136</v>
      </c>
      <c r="C50" s="1" t="s">
        <v>137</v>
      </c>
      <c r="D50" s="7">
        <f t="shared" si="1"/>
        <v>3.37</v>
      </c>
      <c r="E50" s="8">
        <v>5.28</v>
      </c>
      <c r="F50" s="9">
        <f t="shared" si="2"/>
        <v>-1.91</v>
      </c>
      <c r="G50" s="12">
        <f t="shared" si="3"/>
        <v>7.29</v>
      </c>
      <c r="H50" s="8">
        <v>1.48</v>
      </c>
      <c r="I50" s="12">
        <v>5.59</v>
      </c>
      <c r="J50" s="18">
        <f t="shared" si="4"/>
        <v>2.25</v>
      </c>
      <c r="K50" s="15">
        <f t="shared" si="5"/>
        <v>2.48</v>
      </c>
      <c r="L50" s="15">
        <f t="shared" si="6"/>
        <v>0.16</v>
      </c>
      <c r="M50" s="15">
        <f t="shared" si="7"/>
        <v>1.43</v>
      </c>
      <c r="N50" s="9">
        <v>58.0</v>
      </c>
      <c r="O50" s="1">
        <v>0.0</v>
      </c>
      <c r="P50" s="1">
        <v>12.0</v>
      </c>
      <c r="Q50" s="1">
        <v>0.0</v>
      </c>
      <c r="R50" s="1">
        <v>3.0</v>
      </c>
      <c r="S50" s="1">
        <v>4.0</v>
      </c>
      <c r="T50" s="1">
        <v>0.0</v>
      </c>
      <c r="U50" s="1">
        <v>70.0</v>
      </c>
      <c r="V50" s="1">
        <v>47.0</v>
      </c>
      <c r="W50" s="1">
        <v>34.0</v>
      </c>
      <c r="X50" s="1">
        <v>16.0</v>
      </c>
      <c r="Y50" s="1">
        <v>36.0</v>
      </c>
      <c r="Z50" s="1">
        <v>1.0</v>
      </c>
      <c r="AA50" s="4">
        <v>7.0</v>
      </c>
      <c r="AB50" s="16" t="s">
        <v>29</v>
      </c>
      <c r="AC50" s="4"/>
      <c r="AD50" s="4"/>
      <c r="AE50" s="4"/>
    </row>
    <row r="51" ht="15.75" customHeight="1">
      <c r="A51" s="20"/>
      <c r="B51" s="6" t="s">
        <v>138</v>
      </c>
      <c r="C51" s="1" t="s">
        <v>33</v>
      </c>
      <c r="D51" s="7">
        <f t="shared" si="1"/>
        <v>3.32</v>
      </c>
      <c r="E51" s="14">
        <v>4.32</v>
      </c>
      <c r="F51" s="9">
        <f t="shared" si="2"/>
        <v>-1</v>
      </c>
      <c r="G51" s="14">
        <f t="shared" si="3"/>
        <v>5.55</v>
      </c>
      <c r="H51" s="10">
        <v>1.24</v>
      </c>
      <c r="I51" s="8">
        <v>7.86</v>
      </c>
      <c r="J51" s="25">
        <f t="shared" si="4"/>
        <v>3.94</v>
      </c>
      <c r="K51" s="15">
        <f t="shared" si="5"/>
        <v>2</v>
      </c>
      <c r="L51" s="14">
        <f t="shared" si="6"/>
        <v>0.55</v>
      </c>
      <c r="M51" s="14">
        <f t="shared" si="7"/>
        <v>6.02</v>
      </c>
      <c r="N51" s="9">
        <v>81.1</v>
      </c>
      <c r="O51" s="26">
        <v>8.0</v>
      </c>
      <c r="P51" s="1">
        <v>14.0</v>
      </c>
      <c r="Q51" s="1">
        <v>14.0</v>
      </c>
      <c r="R51" s="1">
        <v>9.0</v>
      </c>
      <c r="S51" s="1">
        <v>3.0</v>
      </c>
      <c r="T51" s="1">
        <v>0.0</v>
      </c>
      <c r="U51" s="1">
        <v>83.0</v>
      </c>
      <c r="V51" s="1">
        <v>50.0</v>
      </c>
      <c r="W51" s="1">
        <v>39.0</v>
      </c>
      <c r="X51" s="1">
        <v>18.0</v>
      </c>
      <c r="Y51" s="1">
        <v>71.0</v>
      </c>
      <c r="Z51" s="1">
        <v>5.0</v>
      </c>
      <c r="AA51" s="4">
        <v>11.0</v>
      </c>
      <c r="AB51" s="16" t="s">
        <v>139</v>
      </c>
      <c r="AC51" s="4"/>
      <c r="AD51" s="4"/>
      <c r="AE51" s="4"/>
    </row>
    <row r="52" ht="15.75" customHeight="1">
      <c r="A52" s="23"/>
      <c r="B52" s="6" t="s">
        <v>140</v>
      </c>
      <c r="C52" s="1" t="s">
        <v>141</v>
      </c>
      <c r="D52" s="7">
        <f t="shared" si="1"/>
        <v>3.16</v>
      </c>
      <c r="E52" s="14">
        <v>4.31</v>
      </c>
      <c r="F52" s="9">
        <f t="shared" si="2"/>
        <v>-1.15</v>
      </c>
      <c r="G52" s="14">
        <f t="shared" si="3"/>
        <v>5.13</v>
      </c>
      <c r="H52" s="14">
        <v>1.35</v>
      </c>
      <c r="I52" s="15">
        <v>11.82</v>
      </c>
      <c r="J52" s="11">
        <f t="shared" si="4"/>
        <v>2.74</v>
      </c>
      <c r="K52" s="8">
        <f t="shared" si="5"/>
        <v>4.33</v>
      </c>
      <c r="L52" s="8">
        <f t="shared" si="6"/>
        <v>0.8</v>
      </c>
      <c r="M52" s="8">
        <f t="shared" si="7"/>
        <v>10.2</v>
      </c>
      <c r="N52" s="9">
        <v>56.1</v>
      </c>
      <c r="O52" s="1">
        <v>0.0</v>
      </c>
      <c r="P52" s="1">
        <v>13.0</v>
      </c>
      <c r="Q52" s="1">
        <v>1.0</v>
      </c>
      <c r="R52" s="1">
        <v>2.0</v>
      </c>
      <c r="S52" s="1">
        <v>0.0</v>
      </c>
      <c r="T52" s="1">
        <v>1.0</v>
      </c>
      <c r="U52" s="1">
        <v>49.0</v>
      </c>
      <c r="V52" s="1">
        <v>32.0</v>
      </c>
      <c r="W52" s="1">
        <v>27.0</v>
      </c>
      <c r="X52" s="1">
        <v>27.0</v>
      </c>
      <c r="Y52" s="1">
        <v>74.0</v>
      </c>
      <c r="Z52" s="1">
        <v>5.0</v>
      </c>
      <c r="AA52" s="4"/>
      <c r="AB52" s="16" t="s">
        <v>86</v>
      </c>
      <c r="AC52" s="4"/>
      <c r="AD52" s="4"/>
      <c r="AE52" s="4"/>
    </row>
    <row r="53" ht="15.75" customHeight="1">
      <c r="A53" s="20"/>
      <c r="B53" s="6" t="s">
        <v>142</v>
      </c>
      <c r="C53" s="1" t="s">
        <v>143</v>
      </c>
      <c r="D53" s="7">
        <f t="shared" si="1"/>
        <v>3.16</v>
      </c>
      <c r="E53" s="14">
        <v>4.35</v>
      </c>
      <c r="F53" s="9">
        <f t="shared" si="2"/>
        <v>-1.19</v>
      </c>
      <c r="G53" s="14">
        <f t="shared" si="3"/>
        <v>5.42</v>
      </c>
      <c r="H53" s="14">
        <v>1.32</v>
      </c>
      <c r="I53" s="12">
        <v>7.64</v>
      </c>
      <c r="J53" s="25">
        <f t="shared" si="4"/>
        <v>4.14</v>
      </c>
      <c r="K53" s="15">
        <f t="shared" si="5"/>
        <v>1.85</v>
      </c>
      <c r="L53" s="8">
        <f t="shared" si="6"/>
        <v>0.66</v>
      </c>
      <c r="M53" s="14">
        <f t="shared" si="7"/>
        <v>6.58</v>
      </c>
      <c r="N53" s="9">
        <v>68.1</v>
      </c>
      <c r="O53" s="1">
        <v>1.0</v>
      </c>
      <c r="P53" s="1">
        <v>15.0</v>
      </c>
      <c r="Q53" s="1">
        <v>12.0</v>
      </c>
      <c r="R53" s="1">
        <v>7.0</v>
      </c>
      <c r="S53" s="1">
        <v>5.0</v>
      </c>
      <c r="T53" s="1">
        <v>0.0</v>
      </c>
      <c r="U53" s="1">
        <v>76.0</v>
      </c>
      <c r="V53" s="1">
        <v>41.0</v>
      </c>
      <c r="W53" s="1">
        <v>33.0</v>
      </c>
      <c r="X53" s="1">
        <v>14.0</v>
      </c>
      <c r="Y53" s="1">
        <v>58.0</v>
      </c>
      <c r="Z53" s="1">
        <v>5.0</v>
      </c>
      <c r="AA53" s="4">
        <v>2.0</v>
      </c>
      <c r="AB53" s="16" t="s">
        <v>144</v>
      </c>
      <c r="AC53" s="4"/>
      <c r="AD53" s="4"/>
      <c r="AE53" s="4"/>
    </row>
    <row r="54" ht="15.75" customHeight="1">
      <c r="A54" s="5"/>
      <c r="B54" s="6" t="s">
        <v>145</v>
      </c>
      <c r="C54" s="1" t="s">
        <v>146</v>
      </c>
      <c r="D54" s="7">
        <f t="shared" si="1"/>
        <v>3.11</v>
      </c>
      <c r="E54" s="12">
        <v>6.33</v>
      </c>
      <c r="F54" s="9">
        <f t="shared" si="2"/>
        <v>-3.22</v>
      </c>
      <c r="G54" s="12">
        <f t="shared" si="3"/>
        <v>7.67</v>
      </c>
      <c r="H54" s="12">
        <v>1.69</v>
      </c>
      <c r="I54" s="10">
        <v>10.87</v>
      </c>
      <c r="J54" s="17">
        <f t="shared" si="4"/>
        <v>3.64</v>
      </c>
      <c r="K54" s="10">
        <f t="shared" si="5"/>
        <v>3</v>
      </c>
      <c r="L54" s="12">
        <f t="shared" si="6"/>
        <v>0.84</v>
      </c>
      <c r="M54" s="14">
        <f t="shared" si="7"/>
        <v>6.86</v>
      </c>
      <c r="N54" s="9">
        <v>75.1</v>
      </c>
      <c r="O54" s="1">
        <v>0.0</v>
      </c>
      <c r="P54" s="1">
        <v>16.0</v>
      </c>
      <c r="Q54" s="1">
        <v>0.0</v>
      </c>
      <c r="R54" s="1">
        <v>6.0</v>
      </c>
      <c r="S54" s="1">
        <v>5.0</v>
      </c>
      <c r="T54" s="1">
        <v>0.0</v>
      </c>
      <c r="U54" s="1">
        <v>102.0</v>
      </c>
      <c r="V54" s="1">
        <v>64.0</v>
      </c>
      <c r="W54" s="15">
        <v>53.0</v>
      </c>
      <c r="X54" s="1">
        <v>25.0</v>
      </c>
      <c r="Y54" s="1">
        <v>91.0</v>
      </c>
      <c r="Z54" s="1">
        <v>7.0</v>
      </c>
      <c r="AA54" s="4">
        <v>3.0</v>
      </c>
      <c r="AB54" s="16" t="s">
        <v>29</v>
      </c>
      <c r="AC54" s="4"/>
      <c r="AD54" s="4"/>
      <c r="AE54" s="4"/>
    </row>
    <row r="55" ht="15.75" customHeight="1">
      <c r="A55" s="20"/>
      <c r="B55" s="6" t="s">
        <v>147</v>
      </c>
      <c r="C55" s="1" t="s">
        <v>148</v>
      </c>
      <c r="D55" s="7">
        <f t="shared" si="1"/>
        <v>3.11</v>
      </c>
      <c r="E55" s="15">
        <v>3.25</v>
      </c>
      <c r="F55" s="9">
        <f t="shared" si="2"/>
        <v>-0.14</v>
      </c>
      <c r="G55" s="15">
        <f t="shared" si="3"/>
        <v>4.12</v>
      </c>
      <c r="H55" s="10">
        <v>1.21</v>
      </c>
      <c r="I55" s="8">
        <v>8.08</v>
      </c>
      <c r="J55" s="25">
        <f t="shared" si="4"/>
        <v>4.19</v>
      </c>
      <c r="K55" s="15">
        <f t="shared" si="5"/>
        <v>1.94</v>
      </c>
      <c r="L55" s="10">
        <f t="shared" si="6"/>
        <v>0.49</v>
      </c>
      <c r="M55" s="14">
        <f t="shared" si="7"/>
        <v>5.41</v>
      </c>
      <c r="N55" s="9">
        <v>74.2</v>
      </c>
      <c r="O55" s="1">
        <v>3.0</v>
      </c>
      <c r="P55" s="1">
        <v>17.0</v>
      </c>
      <c r="Q55" s="1">
        <v>14.0</v>
      </c>
      <c r="R55" s="1">
        <v>10.0</v>
      </c>
      <c r="S55" s="1">
        <v>1.0</v>
      </c>
      <c r="T55" s="1">
        <v>0.0</v>
      </c>
      <c r="U55" s="1">
        <v>74.0</v>
      </c>
      <c r="V55" s="1">
        <v>34.0</v>
      </c>
      <c r="W55" s="1">
        <v>27.0</v>
      </c>
      <c r="X55" s="1">
        <v>16.0</v>
      </c>
      <c r="Y55" s="1">
        <v>67.0</v>
      </c>
      <c r="Z55" s="1">
        <v>4.0</v>
      </c>
      <c r="AA55" s="4">
        <v>9.0</v>
      </c>
      <c r="AB55" s="16" t="s">
        <v>149</v>
      </c>
      <c r="AC55" s="4"/>
      <c r="AD55" s="4"/>
      <c r="AE55" s="4"/>
    </row>
    <row r="56" ht="15.75" customHeight="1">
      <c r="A56" s="5"/>
      <c r="B56" s="6" t="s">
        <v>150</v>
      </c>
      <c r="C56" s="1" t="s">
        <v>151</v>
      </c>
      <c r="D56" s="7">
        <f t="shared" si="1"/>
        <v>3.08</v>
      </c>
      <c r="E56" s="10">
        <v>3.72</v>
      </c>
      <c r="F56" s="9">
        <f t="shared" si="2"/>
        <v>-0.64</v>
      </c>
      <c r="G56" s="10">
        <f t="shared" si="3"/>
        <v>4.67</v>
      </c>
      <c r="H56" s="10">
        <v>1.23</v>
      </c>
      <c r="I56" s="15">
        <v>12.69</v>
      </c>
      <c r="J56" s="17">
        <f t="shared" si="4"/>
        <v>3.11</v>
      </c>
      <c r="K56" s="8">
        <f t="shared" si="5"/>
        <v>4.09</v>
      </c>
      <c r="L56" s="14">
        <f t="shared" si="6"/>
        <v>0.58</v>
      </c>
      <c r="M56" s="8">
        <f t="shared" si="7"/>
        <v>8.33</v>
      </c>
      <c r="N56" s="9">
        <v>77.1</v>
      </c>
      <c r="O56" s="1">
        <v>5.0</v>
      </c>
      <c r="P56" s="1">
        <v>14.0</v>
      </c>
      <c r="Q56" s="1">
        <v>14.0</v>
      </c>
      <c r="R56" s="1">
        <v>11.0</v>
      </c>
      <c r="S56" s="1">
        <v>1.0</v>
      </c>
      <c r="T56" s="1">
        <v>0.0</v>
      </c>
      <c r="U56" s="1">
        <v>60.0</v>
      </c>
      <c r="V56" s="1">
        <v>40.0</v>
      </c>
      <c r="W56" s="1">
        <v>32.0</v>
      </c>
      <c r="X56" s="1">
        <v>35.0</v>
      </c>
      <c r="Y56" s="1">
        <v>109.0</v>
      </c>
      <c r="Z56" s="1">
        <v>5.0</v>
      </c>
      <c r="AA56" s="4">
        <v>13.0</v>
      </c>
      <c r="AB56" s="16" t="s">
        <v>29</v>
      </c>
      <c r="AC56" s="4"/>
      <c r="AD56" s="4"/>
      <c r="AE56" s="4"/>
    </row>
    <row r="57" ht="15.75" customHeight="1">
      <c r="A57" s="20"/>
      <c r="B57" s="6" t="s">
        <v>152</v>
      </c>
      <c r="C57" s="1" t="s">
        <v>153</v>
      </c>
      <c r="D57" s="7">
        <f t="shared" si="1"/>
        <v>3.06</v>
      </c>
      <c r="E57" s="10">
        <v>3.49</v>
      </c>
      <c r="F57" s="9">
        <f t="shared" si="2"/>
        <v>-0.43</v>
      </c>
      <c r="G57" s="10">
        <f t="shared" si="3"/>
        <v>4.81</v>
      </c>
      <c r="H57" s="14">
        <v>1.39</v>
      </c>
      <c r="I57" s="14">
        <v>9.56</v>
      </c>
      <c r="J57" s="11">
        <f t="shared" si="4"/>
        <v>2.55</v>
      </c>
      <c r="K57" s="14">
        <f t="shared" si="5"/>
        <v>3.77</v>
      </c>
      <c r="L57" s="10">
        <f t="shared" si="6"/>
        <v>0.39</v>
      </c>
      <c r="M57" s="10">
        <f t="shared" si="7"/>
        <v>4.41</v>
      </c>
      <c r="N57" s="9">
        <v>69.2</v>
      </c>
      <c r="O57" s="1">
        <v>2.0</v>
      </c>
      <c r="P57" s="1">
        <v>13.0</v>
      </c>
      <c r="Q57" s="1">
        <v>12.0</v>
      </c>
      <c r="R57" s="1">
        <v>7.0</v>
      </c>
      <c r="S57" s="1">
        <v>2.0</v>
      </c>
      <c r="T57" s="1">
        <v>0.0</v>
      </c>
      <c r="U57" s="1">
        <v>68.0</v>
      </c>
      <c r="V57" s="1">
        <v>37.0</v>
      </c>
      <c r="W57" s="1">
        <v>27.0</v>
      </c>
      <c r="X57" s="1">
        <v>29.0</v>
      </c>
      <c r="Y57" s="1">
        <v>74.0</v>
      </c>
      <c r="Z57" s="1">
        <v>3.0</v>
      </c>
      <c r="AA57" s="4">
        <v>4.0</v>
      </c>
      <c r="AB57" s="16" t="s">
        <v>154</v>
      </c>
      <c r="AC57" s="4"/>
      <c r="AD57" s="4"/>
      <c r="AE57" s="4"/>
    </row>
    <row r="58" ht="15.75" customHeight="1">
      <c r="A58" s="20"/>
      <c r="B58" s="6" t="s">
        <v>155</v>
      </c>
      <c r="C58" s="1" t="s">
        <v>112</v>
      </c>
      <c r="D58" s="7">
        <f t="shared" si="1"/>
        <v>3.02</v>
      </c>
      <c r="E58" s="28">
        <v>1.59</v>
      </c>
      <c r="F58" s="9">
        <f t="shared" si="2"/>
        <v>1.43</v>
      </c>
      <c r="G58" s="28">
        <f t="shared" si="3"/>
        <v>2.2</v>
      </c>
      <c r="H58" s="15">
        <v>1.15</v>
      </c>
      <c r="I58" s="10">
        <v>10.72</v>
      </c>
      <c r="J58" s="11">
        <f t="shared" si="4"/>
        <v>2.7</v>
      </c>
      <c r="K58" s="14">
        <f t="shared" si="5"/>
        <v>3.99</v>
      </c>
      <c r="L58" s="14">
        <f t="shared" si="6"/>
        <v>0.5</v>
      </c>
      <c r="M58" s="8">
        <f t="shared" si="7"/>
        <v>7.81</v>
      </c>
      <c r="N58" s="9">
        <v>90.2</v>
      </c>
      <c r="O58" s="1">
        <v>3.0</v>
      </c>
      <c r="P58" s="1">
        <v>17.0</v>
      </c>
      <c r="Q58" s="1">
        <v>17.0</v>
      </c>
      <c r="R58" s="1">
        <v>11.0</v>
      </c>
      <c r="S58" s="1">
        <v>0.0</v>
      </c>
      <c r="T58" s="1">
        <v>0.0</v>
      </c>
      <c r="U58" s="1">
        <v>64.0</v>
      </c>
      <c r="V58" s="1">
        <v>22.0</v>
      </c>
      <c r="W58" s="1">
        <v>16.0</v>
      </c>
      <c r="X58" s="1">
        <v>40.0</v>
      </c>
      <c r="Y58" s="1">
        <v>108.0</v>
      </c>
      <c r="Z58" s="1">
        <v>5.0</v>
      </c>
      <c r="AA58" s="4">
        <v>5.0</v>
      </c>
      <c r="AB58" s="16" t="s">
        <v>156</v>
      </c>
      <c r="AC58" s="4"/>
      <c r="AD58" s="4"/>
      <c r="AE58" s="4"/>
    </row>
    <row r="59" ht="15.75" customHeight="1">
      <c r="A59" s="20"/>
      <c r="B59" s="6" t="s">
        <v>157</v>
      </c>
      <c r="C59" s="1" t="s">
        <v>158</v>
      </c>
      <c r="D59" s="7">
        <f t="shared" si="1"/>
        <v>3.01</v>
      </c>
      <c r="E59" s="10">
        <v>3.69</v>
      </c>
      <c r="F59" s="9">
        <f t="shared" si="2"/>
        <v>-0.68</v>
      </c>
      <c r="G59" s="10">
        <f t="shared" si="3"/>
        <v>4.76</v>
      </c>
      <c r="H59" s="14">
        <v>1.33</v>
      </c>
      <c r="I59" s="10">
        <v>11.2</v>
      </c>
      <c r="J59" s="11">
        <f t="shared" si="4"/>
        <v>2.74</v>
      </c>
      <c r="K59" s="8">
        <f t="shared" si="5"/>
        <v>4.1</v>
      </c>
      <c r="L59" s="14">
        <f t="shared" si="6"/>
        <v>0.53</v>
      </c>
      <c r="M59" s="14">
        <f t="shared" si="7"/>
        <v>6.67</v>
      </c>
      <c r="N59" s="9">
        <v>68.1</v>
      </c>
      <c r="O59" s="1">
        <v>0.0</v>
      </c>
      <c r="P59" s="1">
        <v>15.0</v>
      </c>
      <c r="Q59" s="1">
        <v>14.0</v>
      </c>
      <c r="R59" s="1">
        <v>7.0</v>
      </c>
      <c r="S59" s="1">
        <v>2.0</v>
      </c>
      <c r="T59" s="1">
        <v>0.0</v>
      </c>
      <c r="U59" s="1">
        <v>60.0</v>
      </c>
      <c r="V59" s="1">
        <v>36.0</v>
      </c>
      <c r="W59" s="1">
        <v>28.0</v>
      </c>
      <c r="X59" s="1">
        <v>31.0</v>
      </c>
      <c r="Y59" s="1">
        <v>85.0</v>
      </c>
      <c r="Z59" s="1">
        <v>4.0</v>
      </c>
      <c r="AA59" s="4">
        <v>4.0</v>
      </c>
      <c r="AB59" s="16" t="s">
        <v>159</v>
      </c>
      <c r="AC59" s="4"/>
      <c r="AD59" s="4"/>
      <c r="AE59" s="4"/>
    </row>
    <row r="60" ht="15.75" customHeight="1">
      <c r="A60" s="20"/>
      <c r="B60" s="6" t="s">
        <v>160</v>
      </c>
      <c r="C60" s="1" t="s">
        <v>161</v>
      </c>
      <c r="D60" s="7">
        <f t="shared" si="1"/>
        <v>3.01</v>
      </c>
      <c r="E60" s="14">
        <v>4.37</v>
      </c>
      <c r="F60" s="9">
        <f t="shared" si="2"/>
        <v>-1.36</v>
      </c>
      <c r="G60" s="8">
        <f t="shared" si="3"/>
        <v>6.22</v>
      </c>
      <c r="H60" s="8">
        <v>1.53</v>
      </c>
      <c r="I60" s="12">
        <v>7.24</v>
      </c>
      <c r="J60" s="11">
        <f t="shared" si="4"/>
        <v>2.33</v>
      </c>
      <c r="K60" s="14">
        <f t="shared" si="5"/>
        <v>3.11</v>
      </c>
      <c r="L60" s="15">
        <f t="shared" si="6"/>
        <v>0</v>
      </c>
      <c r="M60" s="15">
        <f t="shared" si="7"/>
        <v>0</v>
      </c>
      <c r="N60" s="9">
        <v>78.1</v>
      </c>
      <c r="O60" s="1">
        <v>0.0</v>
      </c>
      <c r="P60" s="1">
        <v>16.0</v>
      </c>
      <c r="Q60" s="1">
        <v>1.0</v>
      </c>
      <c r="R60" s="1">
        <v>5.0</v>
      </c>
      <c r="S60" s="1">
        <v>4.0</v>
      </c>
      <c r="T60" s="1">
        <v>0.0</v>
      </c>
      <c r="U60" s="1">
        <v>93.0</v>
      </c>
      <c r="V60" s="1">
        <v>54.0</v>
      </c>
      <c r="W60" s="1">
        <v>38.0</v>
      </c>
      <c r="X60" s="1">
        <v>27.0</v>
      </c>
      <c r="Y60" s="1">
        <v>63.0</v>
      </c>
      <c r="Z60" s="1">
        <v>0.0</v>
      </c>
      <c r="AA60" s="4">
        <v>10.0</v>
      </c>
      <c r="AB60" s="16" t="s">
        <v>105</v>
      </c>
      <c r="AC60" s="4"/>
      <c r="AD60" s="4"/>
      <c r="AE60" s="4"/>
    </row>
    <row r="61" ht="15.75" customHeight="1">
      <c r="A61" s="5"/>
      <c r="B61" s="6" t="s">
        <v>162</v>
      </c>
      <c r="C61" s="1" t="s">
        <v>163</v>
      </c>
      <c r="D61" s="7">
        <f t="shared" si="1"/>
        <v>3</v>
      </c>
      <c r="E61" s="14">
        <v>3.97</v>
      </c>
      <c r="F61" s="9">
        <f t="shared" si="2"/>
        <v>-0.97</v>
      </c>
      <c r="G61" s="10">
        <f t="shared" si="3"/>
        <v>4.32</v>
      </c>
      <c r="H61" s="10">
        <v>1.21</v>
      </c>
      <c r="I61" s="8">
        <v>8.17</v>
      </c>
      <c r="J61" s="11">
        <f t="shared" si="4"/>
        <v>2.67</v>
      </c>
      <c r="K61" s="10">
        <f t="shared" si="5"/>
        <v>3.07</v>
      </c>
      <c r="L61" s="15">
        <f t="shared" si="6"/>
        <v>0.23</v>
      </c>
      <c r="M61" s="15">
        <f t="shared" si="7"/>
        <v>2.9</v>
      </c>
      <c r="N61" s="9">
        <v>79.1</v>
      </c>
      <c r="O61" s="1">
        <v>6.0</v>
      </c>
      <c r="P61" s="1">
        <v>15.0</v>
      </c>
      <c r="Q61" s="1">
        <v>12.0</v>
      </c>
      <c r="R61" s="1">
        <v>7.0</v>
      </c>
      <c r="S61" s="1">
        <v>0.0</v>
      </c>
      <c r="T61" s="1">
        <v>0.0</v>
      </c>
      <c r="U61" s="29">
        <v>69.0</v>
      </c>
      <c r="V61" s="29">
        <v>38.0</v>
      </c>
      <c r="W61" s="29">
        <v>35.0</v>
      </c>
      <c r="X61" s="29">
        <v>27.0</v>
      </c>
      <c r="Y61" s="29">
        <v>72.0</v>
      </c>
      <c r="Z61" s="1">
        <v>2.0</v>
      </c>
      <c r="AA61" s="4">
        <v>7.0</v>
      </c>
      <c r="AB61" s="16" t="s">
        <v>29</v>
      </c>
      <c r="AC61" s="4"/>
      <c r="AD61" s="4"/>
      <c r="AE61" s="4"/>
    </row>
    <row r="62" ht="15.75" customHeight="1">
      <c r="A62" s="20"/>
      <c r="B62" s="6" t="s">
        <v>164</v>
      </c>
      <c r="C62" s="1" t="s">
        <v>165</v>
      </c>
      <c r="D62" s="7">
        <f t="shared" si="1"/>
        <v>2.93</v>
      </c>
      <c r="E62" s="8">
        <v>4.79</v>
      </c>
      <c r="F62" s="9">
        <f t="shared" si="2"/>
        <v>-1.86</v>
      </c>
      <c r="G62" s="8">
        <f t="shared" si="3"/>
        <v>6.68</v>
      </c>
      <c r="H62" s="14">
        <v>1.39</v>
      </c>
      <c r="I62" s="15">
        <v>12.77</v>
      </c>
      <c r="J62" s="18">
        <f t="shared" si="4"/>
        <v>2.2</v>
      </c>
      <c r="K62" s="12">
        <f t="shared" si="5"/>
        <v>5.81</v>
      </c>
      <c r="L62" s="15">
        <f t="shared" si="6"/>
        <v>0</v>
      </c>
      <c r="M62" s="15">
        <f t="shared" si="7"/>
        <v>0</v>
      </c>
      <c r="N62" s="9">
        <v>62.0</v>
      </c>
      <c r="O62" s="1">
        <v>3.0</v>
      </c>
      <c r="P62" s="1">
        <v>13.0</v>
      </c>
      <c r="Q62" s="1">
        <v>7.0</v>
      </c>
      <c r="R62" s="1">
        <v>4.0</v>
      </c>
      <c r="S62" s="1">
        <v>5.0</v>
      </c>
      <c r="T62" s="1">
        <v>0.0</v>
      </c>
      <c r="U62" s="1">
        <v>46.0</v>
      </c>
      <c r="V62" s="1">
        <v>46.0</v>
      </c>
      <c r="W62" s="1">
        <v>33.0</v>
      </c>
      <c r="X62" s="1">
        <v>40.0</v>
      </c>
      <c r="Y62" s="1">
        <v>88.0</v>
      </c>
      <c r="Z62" s="1">
        <v>0.0</v>
      </c>
      <c r="AA62" s="4">
        <v>13.0</v>
      </c>
      <c r="AB62" s="16" t="s">
        <v>166</v>
      </c>
      <c r="AC62" s="4"/>
      <c r="AD62" s="4"/>
      <c r="AE62" s="4"/>
    </row>
    <row r="63" ht="15.75" customHeight="1">
      <c r="A63" s="20"/>
      <c r="B63" s="6" t="s">
        <v>167</v>
      </c>
      <c r="C63" s="1" t="s">
        <v>168</v>
      </c>
      <c r="D63" s="7">
        <f t="shared" si="1"/>
        <v>2.89</v>
      </c>
      <c r="E63" s="10">
        <v>3.69</v>
      </c>
      <c r="F63" s="9">
        <f t="shared" si="2"/>
        <v>-0.8</v>
      </c>
      <c r="G63" s="10">
        <f t="shared" si="3"/>
        <v>4.63</v>
      </c>
      <c r="H63" s="10">
        <v>1.19</v>
      </c>
      <c r="I63" s="15">
        <v>12.25</v>
      </c>
      <c r="J63" s="25">
        <f t="shared" si="4"/>
        <v>4.04</v>
      </c>
      <c r="K63" s="10">
        <f t="shared" si="5"/>
        <v>3.04</v>
      </c>
      <c r="L63" s="8">
        <f t="shared" si="6"/>
        <v>0.79</v>
      </c>
      <c r="M63" s="12">
        <f t="shared" si="7"/>
        <v>10.34</v>
      </c>
      <c r="N63" s="9">
        <v>68.1</v>
      </c>
      <c r="O63" s="1">
        <v>3.0</v>
      </c>
      <c r="P63" s="1">
        <v>16.0</v>
      </c>
      <c r="Q63" s="1">
        <v>13.0</v>
      </c>
      <c r="R63" s="1">
        <v>8.0</v>
      </c>
      <c r="S63" s="1">
        <v>4.0</v>
      </c>
      <c r="T63" s="1">
        <v>1.0</v>
      </c>
      <c r="U63" s="1">
        <v>58.0</v>
      </c>
      <c r="V63" s="1">
        <v>35.0</v>
      </c>
      <c r="W63" s="1">
        <v>28.0</v>
      </c>
      <c r="X63" s="1">
        <v>23.0</v>
      </c>
      <c r="Y63" s="1">
        <v>93.0</v>
      </c>
      <c r="Z63" s="1">
        <v>6.0</v>
      </c>
      <c r="AA63" s="4">
        <v>6.0</v>
      </c>
      <c r="AB63" s="16" t="s">
        <v>169</v>
      </c>
      <c r="AC63" s="4"/>
      <c r="AD63" s="4"/>
      <c r="AE63" s="4"/>
    </row>
    <row r="64" ht="15.75" customHeight="1">
      <c r="A64" s="5"/>
      <c r="B64" s="6" t="s">
        <v>170</v>
      </c>
      <c r="C64" s="1" t="s">
        <v>171</v>
      </c>
      <c r="D64" s="7">
        <f t="shared" si="1"/>
        <v>2.82</v>
      </c>
      <c r="E64" s="15">
        <v>3.01</v>
      </c>
      <c r="F64" s="9">
        <f t="shared" si="2"/>
        <v>-0.19</v>
      </c>
      <c r="G64" s="15">
        <f t="shared" si="3"/>
        <v>3.41</v>
      </c>
      <c r="H64" s="15">
        <v>1.12</v>
      </c>
      <c r="I64" s="14">
        <v>8.92</v>
      </c>
      <c r="J64" s="25">
        <f t="shared" si="4"/>
        <v>4.44</v>
      </c>
      <c r="K64" s="15">
        <f t="shared" si="5"/>
        <v>2.02</v>
      </c>
      <c r="L64" s="14">
        <f t="shared" si="6"/>
        <v>0.51</v>
      </c>
      <c r="M64" s="14">
        <f t="shared" si="7"/>
        <v>6.25</v>
      </c>
      <c r="N64" s="9">
        <v>71.2</v>
      </c>
      <c r="O64" s="1">
        <v>3.0</v>
      </c>
      <c r="P64" s="1">
        <v>14.0</v>
      </c>
      <c r="Q64" s="1">
        <v>14.0</v>
      </c>
      <c r="R64" s="1">
        <v>9.0</v>
      </c>
      <c r="S64" s="1">
        <v>1.0</v>
      </c>
      <c r="T64" s="1">
        <v>0.0</v>
      </c>
      <c r="U64" s="1">
        <v>64.0</v>
      </c>
      <c r="V64" s="1">
        <v>27.0</v>
      </c>
      <c r="W64" s="1">
        <v>24.0</v>
      </c>
      <c r="X64" s="1">
        <v>16.0</v>
      </c>
      <c r="Y64" s="1">
        <v>71.0</v>
      </c>
      <c r="Z64" s="1">
        <v>4.0</v>
      </c>
      <c r="AA64" s="4">
        <v>5.0</v>
      </c>
      <c r="AB64" s="16" t="s">
        <v>29</v>
      </c>
      <c r="AC64" s="4"/>
      <c r="AD64" s="4"/>
      <c r="AE64" s="4"/>
    </row>
    <row r="65" ht="15.75" customHeight="1">
      <c r="A65" s="20"/>
      <c r="B65" s="6" t="s">
        <v>172</v>
      </c>
      <c r="C65" s="1" t="s">
        <v>173</v>
      </c>
      <c r="D65" s="7">
        <f t="shared" si="1"/>
        <v>2.8</v>
      </c>
      <c r="E65" s="14">
        <v>4.1</v>
      </c>
      <c r="F65" s="9">
        <f t="shared" si="2"/>
        <v>-1.3</v>
      </c>
      <c r="G65" s="14">
        <f t="shared" si="3"/>
        <v>5.22</v>
      </c>
      <c r="H65" s="14">
        <v>1.33</v>
      </c>
      <c r="I65" s="8">
        <v>7.96</v>
      </c>
      <c r="J65" s="11">
        <f t="shared" si="4"/>
        <v>2.87</v>
      </c>
      <c r="K65" s="10">
        <f t="shared" si="5"/>
        <v>2.79</v>
      </c>
      <c r="L65" s="15">
        <f t="shared" si="6"/>
        <v>0</v>
      </c>
      <c r="M65" s="15">
        <f t="shared" si="7"/>
        <v>0</v>
      </c>
      <c r="N65" s="9">
        <v>74.2</v>
      </c>
      <c r="O65" s="1">
        <v>4.0</v>
      </c>
      <c r="P65" s="1">
        <v>12.0</v>
      </c>
      <c r="Q65" s="1">
        <v>12.0</v>
      </c>
      <c r="R65" s="1">
        <v>6.0</v>
      </c>
      <c r="S65" s="1">
        <v>6.0</v>
      </c>
      <c r="T65" s="1">
        <v>0.0</v>
      </c>
      <c r="U65" s="1">
        <v>76.0</v>
      </c>
      <c r="V65" s="1">
        <v>43.0</v>
      </c>
      <c r="W65" s="1">
        <v>34.0</v>
      </c>
      <c r="X65" s="1">
        <v>23.0</v>
      </c>
      <c r="Y65" s="1">
        <v>66.0</v>
      </c>
      <c r="Z65" s="1">
        <v>0.0</v>
      </c>
      <c r="AA65" s="4">
        <v>11.0</v>
      </c>
      <c r="AB65" s="16" t="s">
        <v>174</v>
      </c>
      <c r="AC65" s="4"/>
      <c r="AD65" s="4"/>
      <c r="AE65" s="4"/>
    </row>
    <row r="66" ht="15.75" customHeight="1">
      <c r="A66" s="5"/>
      <c r="B66" s="6" t="s">
        <v>175</v>
      </c>
      <c r="C66" s="1" t="s">
        <v>176</v>
      </c>
      <c r="D66" s="7">
        <f t="shared" si="1"/>
        <v>2.79</v>
      </c>
      <c r="E66" s="10">
        <v>3.91</v>
      </c>
      <c r="F66" s="9">
        <f t="shared" si="2"/>
        <v>-1.12</v>
      </c>
      <c r="G66" s="14">
        <f t="shared" si="3"/>
        <v>5.19</v>
      </c>
      <c r="H66" s="15">
        <v>1.11</v>
      </c>
      <c r="I66" s="10">
        <v>10.69</v>
      </c>
      <c r="J66" s="17">
        <f t="shared" si="4"/>
        <v>3.88</v>
      </c>
      <c r="K66" s="10">
        <f t="shared" si="5"/>
        <v>2.77</v>
      </c>
      <c r="L66" s="10">
        <f t="shared" si="6"/>
        <v>0.46</v>
      </c>
      <c r="M66" s="14">
        <f t="shared" si="7"/>
        <v>6.35</v>
      </c>
      <c r="N66" s="9">
        <v>78.1</v>
      </c>
      <c r="O66" s="1">
        <v>0.0</v>
      </c>
      <c r="P66" s="1">
        <v>18.0</v>
      </c>
      <c r="Q66" s="1">
        <v>16.0</v>
      </c>
      <c r="R66" s="1">
        <v>11.0</v>
      </c>
      <c r="S66" s="1">
        <v>4.0</v>
      </c>
      <c r="T66" s="1">
        <v>0.0</v>
      </c>
      <c r="U66" s="1">
        <v>63.0</v>
      </c>
      <c r="V66" s="1">
        <v>45.0</v>
      </c>
      <c r="W66" s="1">
        <v>34.0</v>
      </c>
      <c r="X66" s="1">
        <v>24.0</v>
      </c>
      <c r="Y66" s="1">
        <v>93.0</v>
      </c>
      <c r="Z66" s="1">
        <v>4.0</v>
      </c>
      <c r="AA66" s="4">
        <v>10.0</v>
      </c>
      <c r="AB66" s="16" t="s">
        <v>29</v>
      </c>
      <c r="AC66" s="4"/>
      <c r="AD66" s="4"/>
      <c r="AE66" s="4"/>
    </row>
    <row r="67" ht="15.75" customHeight="1">
      <c r="A67" s="23"/>
      <c r="B67" s="6" t="s">
        <v>177</v>
      </c>
      <c r="C67" s="1" t="s">
        <v>178</v>
      </c>
      <c r="D67" s="7">
        <f t="shared" si="1"/>
        <v>2.74</v>
      </c>
      <c r="E67" s="15">
        <v>2.82</v>
      </c>
      <c r="F67" s="9">
        <f t="shared" si="2"/>
        <v>-0.08</v>
      </c>
      <c r="G67" s="15">
        <f t="shared" si="3"/>
        <v>3.9</v>
      </c>
      <c r="H67" s="14">
        <v>1.39</v>
      </c>
      <c r="I67" s="10">
        <v>11.01</v>
      </c>
      <c r="J67" s="17">
        <f t="shared" si="4"/>
        <v>3.04</v>
      </c>
      <c r="K67" s="14">
        <f t="shared" si="5"/>
        <v>3.63</v>
      </c>
      <c r="L67" s="14">
        <f t="shared" si="6"/>
        <v>0.54</v>
      </c>
      <c r="M67" s="14">
        <f t="shared" si="7"/>
        <v>6.06</v>
      </c>
      <c r="N67" s="9">
        <v>67.0</v>
      </c>
      <c r="O67" s="1">
        <v>2.0</v>
      </c>
      <c r="P67" s="1">
        <v>14.0</v>
      </c>
      <c r="Q67" s="1">
        <v>13.0</v>
      </c>
      <c r="R67" s="1">
        <v>10.0</v>
      </c>
      <c r="S67" s="1">
        <v>1.0</v>
      </c>
      <c r="T67" s="1">
        <v>0.0</v>
      </c>
      <c r="U67" s="1">
        <v>66.0</v>
      </c>
      <c r="V67" s="1">
        <v>29.0</v>
      </c>
      <c r="W67" s="1">
        <v>21.0</v>
      </c>
      <c r="X67" s="1">
        <v>27.0</v>
      </c>
      <c r="Y67" s="1">
        <v>82.0</v>
      </c>
      <c r="Z67" s="1">
        <v>4.0</v>
      </c>
      <c r="AA67" s="4"/>
      <c r="AB67" s="16" t="s">
        <v>179</v>
      </c>
      <c r="AC67" s="4"/>
      <c r="AD67" s="4"/>
      <c r="AE67" s="4"/>
    </row>
    <row r="68" ht="15.75" customHeight="1">
      <c r="A68" s="5"/>
      <c r="B68" s="6" t="s">
        <v>180</v>
      </c>
      <c r="C68" s="1" t="s">
        <v>181</v>
      </c>
      <c r="D68" s="7">
        <f t="shared" si="1"/>
        <v>2.71</v>
      </c>
      <c r="E68" s="8">
        <v>5.18</v>
      </c>
      <c r="F68" s="9">
        <f t="shared" si="2"/>
        <v>-2.47</v>
      </c>
      <c r="G68" s="8">
        <f t="shared" si="3"/>
        <v>6.55</v>
      </c>
      <c r="H68" s="8">
        <v>1.53</v>
      </c>
      <c r="I68" s="8">
        <v>7.96</v>
      </c>
      <c r="J68" s="25">
        <f t="shared" si="4"/>
        <v>4.13</v>
      </c>
      <c r="K68" s="15">
        <f t="shared" si="5"/>
        <v>1.94</v>
      </c>
      <c r="L68" s="10">
        <f t="shared" si="6"/>
        <v>0.36</v>
      </c>
      <c r="M68" s="15">
        <f t="shared" si="7"/>
        <v>3.06</v>
      </c>
      <c r="N68" s="9">
        <v>74.2</v>
      </c>
      <c r="O68" s="1">
        <v>1.0</v>
      </c>
      <c r="P68" s="1">
        <v>15.0</v>
      </c>
      <c r="Q68" s="1">
        <v>14.0</v>
      </c>
      <c r="R68" s="1">
        <v>6.0</v>
      </c>
      <c r="S68" s="1">
        <v>7.0</v>
      </c>
      <c r="T68" s="1">
        <v>0.0</v>
      </c>
      <c r="U68" s="1">
        <v>98.0</v>
      </c>
      <c r="V68" s="1">
        <v>54.0</v>
      </c>
      <c r="W68" s="1">
        <v>43.0</v>
      </c>
      <c r="X68" s="1">
        <v>16.0</v>
      </c>
      <c r="Y68" s="1">
        <v>66.0</v>
      </c>
      <c r="Z68" s="1">
        <v>3.0</v>
      </c>
      <c r="AA68" s="4">
        <v>3.0</v>
      </c>
      <c r="AB68" s="16" t="s">
        <v>29</v>
      </c>
      <c r="AC68" s="4"/>
      <c r="AD68" s="4"/>
      <c r="AE68" s="4"/>
    </row>
    <row r="69" ht="15.75" customHeight="1">
      <c r="A69" s="20"/>
      <c r="B69" s="6" t="s">
        <v>182</v>
      </c>
      <c r="C69" s="1" t="s">
        <v>183</v>
      </c>
      <c r="D69" s="7">
        <f t="shared" si="1"/>
        <v>2.67</v>
      </c>
      <c r="E69" s="8">
        <v>4.86</v>
      </c>
      <c r="F69" s="9">
        <f t="shared" si="2"/>
        <v>-2.19</v>
      </c>
      <c r="G69" s="8">
        <f t="shared" si="3"/>
        <v>6.09</v>
      </c>
      <c r="H69" s="14">
        <v>1.34</v>
      </c>
      <c r="I69" s="15">
        <v>12.91</v>
      </c>
      <c r="J69" s="25">
        <f t="shared" si="4"/>
        <v>4.81</v>
      </c>
      <c r="K69" s="10">
        <f t="shared" si="5"/>
        <v>2.71</v>
      </c>
      <c r="L69" s="14">
        <f t="shared" si="6"/>
        <v>0.51</v>
      </c>
      <c r="M69" s="14">
        <f t="shared" si="7"/>
        <v>5.36</v>
      </c>
      <c r="N69" s="9">
        <v>53.2</v>
      </c>
      <c r="O69" s="1">
        <v>0.0</v>
      </c>
      <c r="P69" s="1">
        <v>13.0</v>
      </c>
      <c r="Q69" s="1">
        <v>9.0</v>
      </c>
      <c r="R69" s="1">
        <v>7.0</v>
      </c>
      <c r="S69" s="1">
        <v>3.0</v>
      </c>
      <c r="T69" s="1">
        <v>0.0</v>
      </c>
      <c r="U69" s="1">
        <v>56.0</v>
      </c>
      <c r="V69" s="1">
        <v>36.0</v>
      </c>
      <c r="W69" s="1">
        <v>29.0</v>
      </c>
      <c r="X69" s="1">
        <v>16.0</v>
      </c>
      <c r="Y69" s="1">
        <v>77.0</v>
      </c>
      <c r="Z69" s="1">
        <v>3.0</v>
      </c>
      <c r="AA69" s="4">
        <v>13.0</v>
      </c>
      <c r="AB69" s="16" t="s">
        <v>184</v>
      </c>
      <c r="AC69" s="4"/>
      <c r="AD69" s="4"/>
      <c r="AE69" s="4"/>
    </row>
    <row r="70" ht="15.75" customHeight="1">
      <c r="A70" s="20"/>
      <c r="B70" s="6" t="s">
        <v>185</v>
      </c>
      <c r="C70" s="1" t="s">
        <v>186</v>
      </c>
      <c r="D70" s="7">
        <f t="shared" si="1"/>
        <v>2.49</v>
      </c>
      <c r="E70" s="10">
        <v>3.73</v>
      </c>
      <c r="F70" s="9">
        <f t="shared" si="2"/>
        <v>-1.24</v>
      </c>
      <c r="G70" s="10">
        <f t="shared" si="3"/>
        <v>5</v>
      </c>
      <c r="H70" s="14">
        <v>1.33</v>
      </c>
      <c r="I70" s="15">
        <v>12.65</v>
      </c>
      <c r="J70" s="17">
        <f t="shared" si="4"/>
        <v>3.73</v>
      </c>
      <c r="K70" s="14">
        <f t="shared" si="5"/>
        <v>3.41</v>
      </c>
      <c r="L70" s="8">
        <f t="shared" si="6"/>
        <v>0.68</v>
      </c>
      <c r="M70" s="8">
        <f t="shared" si="7"/>
        <v>7.89</v>
      </c>
      <c r="N70" s="9">
        <v>79.2</v>
      </c>
      <c r="O70" s="1">
        <v>0.0</v>
      </c>
      <c r="P70" s="1">
        <v>16.0</v>
      </c>
      <c r="Q70" s="1">
        <v>15.0</v>
      </c>
      <c r="R70" s="1">
        <v>5.0</v>
      </c>
      <c r="S70" s="1">
        <v>3.0</v>
      </c>
      <c r="T70" s="1">
        <v>0.0</v>
      </c>
      <c r="U70" s="1">
        <v>76.0</v>
      </c>
      <c r="V70" s="1">
        <v>44.0</v>
      </c>
      <c r="W70" s="1">
        <v>33.0</v>
      </c>
      <c r="X70" s="1">
        <v>30.0</v>
      </c>
      <c r="Y70" s="1">
        <v>112.0</v>
      </c>
      <c r="Z70" s="1">
        <v>6.0</v>
      </c>
      <c r="AA70" s="4">
        <v>0.0</v>
      </c>
      <c r="AB70" s="16" t="s">
        <v>187</v>
      </c>
      <c r="AC70" s="4"/>
      <c r="AD70" s="4"/>
      <c r="AE70" s="4"/>
    </row>
    <row r="71" ht="15.75" customHeight="1">
      <c r="A71" s="23"/>
      <c r="B71" s="6" t="s">
        <v>188</v>
      </c>
      <c r="C71" s="1" t="s">
        <v>178</v>
      </c>
      <c r="D71" s="7">
        <f t="shared" si="1"/>
        <v>2.44</v>
      </c>
      <c r="E71" s="15">
        <v>2.49</v>
      </c>
      <c r="F71" s="9">
        <f t="shared" si="2"/>
        <v>-0.05</v>
      </c>
      <c r="G71" s="15">
        <f t="shared" si="3"/>
        <v>3.83</v>
      </c>
      <c r="H71" s="28">
        <v>1.09</v>
      </c>
      <c r="I71" s="14">
        <v>9.7</v>
      </c>
      <c r="J71" s="25">
        <f t="shared" si="4"/>
        <v>3.89</v>
      </c>
      <c r="K71" s="15">
        <f t="shared" si="5"/>
        <v>2.51</v>
      </c>
      <c r="L71" s="10">
        <f t="shared" si="6"/>
        <v>0.4</v>
      </c>
      <c r="M71" s="10">
        <f t="shared" si="7"/>
        <v>5.36</v>
      </c>
      <c r="N71" s="9">
        <v>68.2</v>
      </c>
      <c r="O71" s="1">
        <v>4.0</v>
      </c>
      <c r="P71" s="1">
        <v>14.0</v>
      </c>
      <c r="Q71" s="1">
        <v>12.0</v>
      </c>
      <c r="R71" s="1">
        <v>8.0</v>
      </c>
      <c r="S71" s="1">
        <v>1.0</v>
      </c>
      <c r="T71" s="1">
        <v>0.0</v>
      </c>
      <c r="U71" s="1">
        <v>56.0</v>
      </c>
      <c r="V71" s="1">
        <v>29.0</v>
      </c>
      <c r="W71" s="1">
        <v>19.0</v>
      </c>
      <c r="X71" s="1">
        <v>19.0</v>
      </c>
      <c r="Y71" s="1">
        <v>74.0</v>
      </c>
      <c r="Z71" s="1">
        <v>3.0</v>
      </c>
      <c r="AA71" s="4"/>
      <c r="AB71" s="16" t="s">
        <v>189</v>
      </c>
      <c r="AC71" s="4"/>
      <c r="AD71" s="4"/>
      <c r="AE71" s="4"/>
    </row>
    <row r="72" ht="15.75" customHeight="1">
      <c r="A72" s="20"/>
      <c r="B72" s="6" t="s">
        <v>190</v>
      </c>
      <c r="C72" s="1" t="s">
        <v>59</v>
      </c>
      <c r="D72" s="7">
        <f t="shared" si="1"/>
        <v>2.33</v>
      </c>
      <c r="E72" s="15">
        <v>2.91</v>
      </c>
      <c r="F72" s="9">
        <f t="shared" si="2"/>
        <v>-0.58</v>
      </c>
      <c r="G72" s="10">
        <f t="shared" si="3"/>
        <v>4.38</v>
      </c>
      <c r="H72" s="14">
        <v>1.34</v>
      </c>
      <c r="I72" s="15">
        <v>11.43</v>
      </c>
      <c r="J72" s="17">
        <f t="shared" si="4"/>
        <v>3.29</v>
      </c>
      <c r="K72" s="14">
        <f t="shared" si="5"/>
        <v>3.48</v>
      </c>
      <c r="L72" s="15">
        <f t="shared" si="6"/>
        <v>0.22</v>
      </c>
      <c r="M72" s="15">
        <f t="shared" si="7"/>
        <v>2.6</v>
      </c>
      <c r="N72" s="9">
        <v>80.1</v>
      </c>
      <c r="O72" s="1">
        <v>3.0</v>
      </c>
      <c r="P72" s="1">
        <v>13.0</v>
      </c>
      <c r="Q72" s="1">
        <v>13.0</v>
      </c>
      <c r="R72" s="1">
        <v>8.0</v>
      </c>
      <c r="S72" s="1">
        <v>3.0</v>
      </c>
      <c r="T72" s="1">
        <v>0.0</v>
      </c>
      <c r="U72" s="1">
        <v>77.0</v>
      </c>
      <c r="V72" s="1">
        <v>39.0</v>
      </c>
      <c r="W72" s="1">
        <v>26.0</v>
      </c>
      <c r="X72" s="1">
        <v>31.0</v>
      </c>
      <c r="Y72" s="1">
        <v>102.0</v>
      </c>
      <c r="Z72" s="1">
        <v>2.0</v>
      </c>
      <c r="AA72" s="4">
        <v>5.0</v>
      </c>
      <c r="AB72" s="16" t="s">
        <v>191</v>
      </c>
      <c r="AC72" s="4"/>
      <c r="AD72" s="4"/>
      <c r="AE72" s="4"/>
    </row>
    <row r="73" ht="15.75" customHeight="1">
      <c r="A73" s="5"/>
      <c r="B73" s="6" t="s">
        <v>192</v>
      </c>
      <c r="C73" s="1" t="s">
        <v>50</v>
      </c>
      <c r="D73" s="7">
        <f t="shared" si="1"/>
        <v>2.31</v>
      </c>
      <c r="E73" s="10">
        <v>3.33</v>
      </c>
      <c r="F73" s="9">
        <f t="shared" si="2"/>
        <v>-1.02</v>
      </c>
      <c r="G73" s="15">
        <f t="shared" si="3"/>
        <v>4.19</v>
      </c>
      <c r="H73" s="10">
        <v>1.19</v>
      </c>
      <c r="I73" s="10">
        <v>10.94</v>
      </c>
      <c r="J73" s="25">
        <f t="shared" si="4"/>
        <v>4.84</v>
      </c>
      <c r="K73" s="15">
        <f t="shared" si="5"/>
        <v>2.27</v>
      </c>
      <c r="L73" s="10">
        <f t="shared" si="6"/>
        <v>0.36</v>
      </c>
      <c r="M73" s="10">
        <f t="shared" si="7"/>
        <v>4.23</v>
      </c>
      <c r="N73" s="9">
        <v>75.2</v>
      </c>
      <c r="O73" s="1">
        <v>1.0</v>
      </c>
      <c r="P73" s="1">
        <v>14.0</v>
      </c>
      <c r="Q73" s="1">
        <v>13.0</v>
      </c>
      <c r="R73" s="1">
        <v>7.0</v>
      </c>
      <c r="S73" s="1">
        <v>1.0</v>
      </c>
      <c r="T73" s="1">
        <v>0.0</v>
      </c>
      <c r="U73" s="1">
        <v>71.0</v>
      </c>
      <c r="V73" s="1">
        <v>35.0</v>
      </c>
      <c r="W73" s="1">
        <v>28.0</v>
      </c>
      <c r="X73" s="1">
        <v>19.0</v>
      </c>
      <c r="Y73" s="1">
        <v>92.0</v>
      </c>
      <c r="Z73" s="1">
        <v>3.0</v>
      </c>
      <c r="AA73" s="4">
        <v>7.0</v>
      </c>
      <c r="AB73" s="16" t="s">
        <v>29</v>
      </c>
      <c r="AC73" s="4"/>
      <c r="AD73" s="4"/>
      <c r="AE73" s="4"/>
    </row>
    <row r="74" ht="15.75" customHeight="1">
      <c r="A74" s="20"/>
      <c r="B74" s="6" t="s">
        <v>193</v>
      </c>
      <c r="C74" s="1" t="s">
        <v>194</v>
      </c>
      <c r="D74" s="7">
        <f t="shared" si="1"/>
        <v>2.18</v>
      </c>
      <c r="E74" s="10">
        <v>3.34</v>
      </c>
      <c r="F74" s="9">
        <f t="shared" si="2"/>
        <v>-1.16</v>
      </c>
      <c r="G74" s="15">
        <f t="shared" si="3"/>
        <v>3.55</v>
      </c>
      <c r="H74" s="15">
        <v>1.1</v>
      </c>
      <c r="I74" s="10">
        <v>11.05</v>
      </c>
      <c r="J74" s="25">
        <f t="shared" si="4"/>
        <v>5.89</v>
      </c>
      <c r="K74" s="15">
        <f t="shared" si="5"/>
        <v>1.88</v>
      </c>
      <c r="L74" s="10">
        <f t="shared" si="6"/>
        <v>0.42</v>
      </c>
      <c r="M74" s="10">
        <f t="shared" si="7"/>
        <v>5.19</v>
      </c>
      <c r="N74" s="9">
        <v>86.1</v>
      </c>
      <c r="O74" s="1">
        <v>4.0</v>
      </c>
      <c r="P74" s="1">
        <v>15.0</v>
      </c>
      <c r="Q74" s="1">
        <v>13.0</v>
      </c>
      <c r="R74" s="1">
        <v>10.0</v>
      </c>
      <c r="S74" s="1">
        <v>3.0</v>
      </c>
      <c r="T74" s="1">
        <v>0.0</v>
      </c>
      <c r="U74" s="1">
        <v>77.0</v>
      </c>
      <c r="V74" s="1">
        <v>34.0</v>
      </c>
      <c r="W74" s="1">
        <v>32.0</v>
      </c>
      <c r="X74" s="1">
        <v>18.0</v>
      </c>
      <c r="Y74" s="1">
        <v>106.0</v>
      </c>
      <c r="Z74" s="1">
        <v>4.0</v>
      </c>
      <c r="AA74" s="4">
        <v>6.0</v>
      </c>
      <c r="AB74" s="16" t="s">
        <v>195</v>
      </c>
      <c r="AC74" s="4"/>
      <c r="AD74" s="4"/>
      <c r="AE74" s="4"/>
    </row>
    <row r="75" ht="15.75" customHeight="1">
      <c r="A75" s="23"/>
      <c r="B75" s="6" t="s">
        <v>196</v>
      </c>
      <c r="C75" s="1" t="s">
        <v>141</v>
      </c>
      <c r="D75" s="7">
        <f t="shared" si="1"/>
        <v>1.38</v>
      </c>
      <c r="E75" s="10">
        <v>3.27</v>
      </c>
      <c r="F75" s="9">
        <f t="shared" si="2"/>
        <v>-1.89</v>
      </c>
      <c r="G75" s="10">
        <f t="shared" si="3"/>
        <v>4.58</v>
      </c>
      <c r="H75" s="15">
        <v>1.11</v>
      </c>
      <c r="I75" s="28">
        <v>15.55</v>
      </c>
      <c r="J75" s="25">
        <f t="shared" si="4"/>
        <v>5.59</v>
      </c>
      <c r="K75" s="10">
        <f t="shared" si="5"/>
        <v>2.78</v>
      </c>
      <c r="L75" s="14">
        <f t="shared" si="6"/>
        <v>0.49</v>
      </c>
      <c r="M75" s="14">
        <f t="shared" si="7"/>
        <v>6.82</v>
      </c>
      <c r="N75" s="9">
        <v>55.0</v>
      </c>
      <c r="O75" s="1">
        <v>0.0</v>
      </c>
      <c r="P75" s="1">
        <v>12.0</v>
      </c>
      <c r="Q75" s="1">
        <v>1.0</v>
      </c>
      <c r="R75" s="1">
        <v>3.0</v>
      </c>
      <c r="S75" s="1">
        <v>1.0</v>
      </c>
      <c r="T75" s="1">
        <v>0.0</v>
      </c>
      <c r="U75" s="1">
        <v>44.0</v>
      </c>
      <c r="V75" s="1">
        <v>28.0</v>
      </c>
      <c r="W75" s="1">
        <v>20.0</v>
      </c>
      <c r="X75" s="1">
        <v>17.0</v>
      </c>
      <c r="Y75" s="1">
        <v>95.0</v>
      </c>
      <c r="Z75" s="1">
        <v>3.0</v>
      </c>
      <c r="AA75" s="4"/>
      <c r="AB75" s="16" t="s">
        <v>197</v>
      </c>
      <c r="AC75" s="4"/>
      <c r="AD75" s="4"/>
      <c r="AE75" s="4"/>
    </row>
    <row r="76" ht="15.75" customHeight="1">
      <c r="A76" s="3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3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3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3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3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3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3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3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3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3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3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3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3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3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3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3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3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3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3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3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3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3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3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3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3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3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3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3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3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3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H1000">
    <cfRule type="colorScale" priority="1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E1:E1000">
    <cfRule type="colorScale" priority="2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G1:G1000">
    <cfRule type="colorScale" priority="3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I1:I1000">
    <cfRule type="colorScale" priority="4">
      <colorScale>
        <cfvo type="percentile" val="0"/>
        <cfvo type="percentile" val="50"/>
        <cfvo type="percentile" val="100"/>
        <color rgb="FF0B5394"/>
        <color rgb="FFB7B7B7"/>
        <color rgb="FFCC0000"/>
      </colorScale>
    </cfRule>
  </conditionalFormatting>
  <conditionalFormatting sqref="J1:J1000">
    <cfRule type="colorScale" priority="5">
      <colorScale>
        <cfvo type="percentile" val="0"/>
        <cfvo type="percentile" val="50"/>
        <cfvo type="percentile" val="100"/>
        <color rgb="FF0B5394"/>
        <color rgb="FFB7B7B7"/>
        <color rgb="FFCC0000"/>
      </colorScale>
    </cfRule>
  </conditionalFormatting>
  <conditionalFormatting sqref="K1:K1000">
    <cfRule type="colorScale" priority="6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L1:L1000">
    <cfRule type="colorScale" priority="7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M1:M1000">
    <cfRule type="colorScale" priority="8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D1:D1000">
    <cfRule type="colorScale" priority="9">
      <colorScale>
        <cfvo type="percentile" val="0"/>
        <cfvo type="percentile" val="50"/>
        <cfvo type="percentile" val="100"/>
        <color rgb="FFCC0000"/>
        <color rgb="FFB7B7B7"/>
        <color rgb="FF0B5394"/>
      </colorScale>
    </cfRule>
  </conditionalFormatting>
  <conditionalFormatting sqref="F1:F1000">
    <cfRule type="colorScale" priority="10">
      <colorScale>
        <cfvo type="percentile" val="0"/>
        <cfvo type="percentile" val="50"/>
        <cfvo type="percentile" val="100"/>
        <color rgb="FFFF6D01"/>
        <color rgb="FFB7B7B7"/>
        <color rgb="FF741B47"/>
      </colorScale>
    </cfRule>
  </conditionalFormatting>
  <conditionalFormatting sqref="N1:N1000">
    <cfRule type="colorScale" priority="11">
      <colorScale>
        <cfvo type="percentile" val="0"/>
        <cfvo type="percentile" val="50"/>
        <cfvo type="percentile" val="100"/>
        <color rgb="FF741B47"/>
        <color rgb="FFB7B7B7"/>
        <color rgb="FFFF6D01"/>
      </colorScale>
    </cfRule>
  </conditionalFormatting>
  <drawing r:id="rId1"/>
</worksheet>
</file>